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NAAC_3 years_Final\0_Basic_Questions\"/>
    </mc:Choice>
  </mc:AlternateContent>
  <xr:revisionPtr revIDLastSave="0" documentId="13_ncr:1_{8F65AB3E-BA99-4885-B439-11C8F07569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aculty-2026-27" sheetId="5" r:id="rId1"/>
    <sheet name="Faculty-2025-26" sheetId="2" r:id="rId2"/>
    <sheet name="Faculty-2024-25" sheetId="3" r:id="rId3"/>
    <sheet name="Faculty-2023-2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2" i="5" l="1"/>
  <c r="S42" i="5"/>
  <c r="R42" i="5"/>
  <c r="P42" i="5"/>
  <c r="O42" i="5"/>
  <c r="M42" i="5"/>
  <c r="L42" i="5"/>
  <c r="K42" i="5"/>
  <c r="J42" i="5"/>
  <c r="I42" i="5"/>
  <c r="H42" i="5"/>
  <c r="G42" i="5"/>
  <c r="F42" i="5"/>
  <c r="E42" i="5"/>
  <c r="T40" i="5"/>
  <c r="Q40" i="5"/>
  <c r="D40" i="5"/>
  <c r="T39" i="5"/>
  <c r="Q39" i="5"/>
  <c r="D39" i="5"/>
  <c r="T38" i="5"/>
  <c r="Q38" i="5"/>
  <c r="W38" i="5" s="1"/>
  <c r="N38" i="5"/>
  <c r="D38" i="5"/>
  <c r="T37" i="5"/>
  <c r="Q37" i="5"/>
  <c r="W37" i="5" s="1"/>
  <c r="N37" i="5"/>
  <c r="D37" i="5"/>
  <c r="T36" i="5"/>
  <c r="Q36" i="5"/>
  <c r="W36" i="5" s="1"/>
  <c r="N36" i="5"/>
  <c r="D36" i="5"/>
  <c r="T35" i="5"/>
  <c r="Q35" i="5"/>
  <c r="W35" i="5" s="1"/>
  <c r="N35" i="5"/>
  <c r="D35" i="5"/>
  <c r="T34" i="5"/>
  <c r="Q34" i="5"/>
  <c r="W34" i="5" s="1"/>
  <c r="N34" i="5"/>
  <c r="D34" i="5"/>
  <c r="T33" i="5"/>
  <c r="Q33" i="5"/>
  <c r="W33" i="5" s="1"/>
  <c r="N33" i="5"/>
  <c r="D33" i="5"/>
  <c r="T32" i="5"/>
  <c r="Q32" i="5"/>
  <c r="W32" i="5" s="1"/>
  <c r="N32" i="5"/>
  <c r="D32" i="5"/>
  <c r="T31" i="5"/>
  <c r="Q31" i="5"/>
  <c r="W31" i="5" s="1"/>
  <c r="N31" i="5"/>
  <c r="D31" i="5"/>
  <c r="W30" i="5"/>
  <c r="T30" i="5"/>
  <c r="Q30" i="5"/>
  <c r="N30" i="5"/>
  <c r="D30" i="5"/>
  <c r="W29" i="5"/>
  <c r="T29" i="5"/>
  <c r="Q29" i="5"/>
  <c r="N29" i="5"/>
  <c r="D29" i="5"/>
  <c r="T28" i="5"/>
  <c r="Q28" i="5"/>
  <c r="W28" i="5" s="1"/>
  <c r="N28" i="5"/>
  <c r="D28" i="5"/>
  <c r="T27" i="5"/>
  <c r="Q27" i="5"/>
  <c r="W27" i="5" s="1"/>
  <c r="N27" i="5"/>
  <c r="D27" i="5"/>
  <c r="T26" i="5"/>
  <c r="Q26" i="5"/>
  <c r="N26" i="5"/>
  <c r="D26" i="5"/>
  <c r="T23" i="5"/>
  <c r="Q23" i="5"/>
  <c r="W23" i="5" s="1"/>
  <c r="N23" i="5"/>
  <c r="D23" i="5"/>
  <c r="W22" i="5"/>
  <c r="T22" i="5"/>
  <c r="Q22" i="5"/>
  <c r="N22" i="5"/>
  <c r="D22" i="5"/>
  <c r="T21" i="5"/>
  <c r="Q21" i="5"/>
  <c r="W21" i="5" s="1"/>
  <c r="N21" i="5"/>
  <c r="D21" i="5"/>
  <c r="T20" i="5"/>
  <c r="Q20" i="5"/>
  <c r="W20" i="5" s="1"/>
  <c r="N20" i="5"/>
  <c r="D20" i="5"/>
  <c r="T19" i="5"/>
  <c r="Q19" i="5"/>
  <c r="W19" i="5" s="1"/>
  <c r="N19" i="5"/>
  <c r="D19" i="5"/>
  <c r="T18" i="5"/>
  <c r="Q18" i="5"/>
  <c r="W18" i="5" s="1"/>
  <c r="N18" i="5"/>
  <c r="D18" i="5"/>
  <c r="T17" i="5"/>
  <c r="Q17" i="5"/>
  <c r="W17" i="5" s="1"/>
  <c r="N17" i="5"/>
  <c r="N42" i="5" s="1"/>
  <c r="D17" i="5"/>
  <c r="T16" i="5"/>
  <c r="Q16" i="5"/>
  <c r="W16" i="5" s="1"/>
  <c r="N16" i="5"/>
  <c r="D16" i="5"/>
  <c r="T15" i="5"/>
  <c r="Q15" i="5"/>
  <c r="W15" i="5" s="1"/>
  <c r="N15" i="5"/>
  <c r="D15" i="5"/>
  <c r="T14" i="5"/>
  <c r="Q14" i="5"/>
  <c r="W14" i="5" s="1"/>
  <c r="N14" i="5"/>
  <c r="D14" i="5"/>
  <c r="T13" i="5"/>
  <c r="Q13" i="5"/>
  <c r="W13" i="5" s="1"/>
  <c r="N13" i="5"/>
  <c r="D13" i="5"/>
  <c r="T12" i="5"/>
  <c r="Q12" i="5"/>
  <c r="W12" i="5" s="1"/>
  <c r="N12" i="5"/>
  <c r="D12" i="5"/>
  <c r="W11" i="5"/>
  <c r="T11" i="5"/>
  <c r="Q11" i="5"/>
  <c r="N11" i="5"/>
  <c r="D11" i="5"/>
  <c r="W10" i="5"/>
  <c r="T10" i="5"/>
  <c r="Q10" i="5"/>
  <c r="N10" i="5"/>
  <c r="D10" i="5"/>
  <c r="Q9" i="5"/>
  <c r="W9" i="5" s="1"/>
  <c r="N9" i="5"/>
  <c r="T8" i="5"/>
  <c r="Q8" i="5"/>
  <c r="W8" i="5" s="1"/>
  <c r="N8" i="5"/>
  <c r="D8" i="5"/>
  <c r="T7" i="5"/>
  <c r="Q7" i="5"/>
  <c r="W7" i="5" s="1"/>
  <c r="N7" i="5"/>
  <c r="D7" i="5"/>
  <c r="T6" i="5"/>
  <c r="Q6" i="5"/>
  <c r="W6" i="5" s="1"/>
  <c r="N6" i="5"/>
  <c r="D6" i="5"/>
  <c r="T5" i="5"/>
  <c r="T42" i="5" s="1"/>
  <c r="Q5" i="5"/>
  <c r="Q42" i="5" s="1"/>
  <c r="N5" i="5"/>
  <c r="D5" i="5"/>
  <c r="D42" i="5" s="1"/>
  <c r="Q9" i="4" l="1"/>
  <c r="P9" i="4"/>
  <c r="O9" i="4"/>
  <c r="P10" i="4" l="1"/>
  <c r="O9" i="3"/>
  <c r="P9" i="3"/>
  <c r="N9" i="3"/>
  <c r="P9" i="2"/>
  <c r="O9" i="2"/>
  <c r="N9" i="2"/>
  <c r="O10" i="3" l="1"/>
  <c r="O10" i="2"/>
  <c r="I43" i="4" l="1"/>
  <c r="H43" i="4"/>
  <c r="G43" i="4"/>
  <c r="F43" i="4"/>
  <c r="E43" i="4"/>
  <c r="D43" i="4"/>
  <c r="C43" i="4"/>
  <c r="I43" i="3" l="1"/>
  <c r="H43" i="3"/>
  <c r="G43" i="3"/>
  <c r="F43" i="3"/>
  <c r="E43" i="3"/>
  <c r="D43" i="3"/>
  <c r="C43" i="3"/>
  <c r="I43" i="2" l="1"/>
  <c r="H43" i="2"/>
  <c r="G43" i="2"/>
  <c r="F43" i="2"/>
  <c r="E43" i="2"/>
  <c r="D43" i="2"/>
  <c r="C43" i="2"/>
</calcChain>
</file>

<file path=xl/sharedStrings.xml><?xml version="1.0" encoding="utf-8"?>
<sst xmlns="http://schemas.openxmlformats.org/spreadsheetml/2006/main" count="481" uniqueCount="91">
  <si>
    <t>Department</t>
  </si>
  <si>
    <t>Aided</t>
  </si>
  <si>
    <t>Coordinator</t>
  </si>
  <si>
    <t>Secretary</t>
  </si>
  <si>
    <t>PhD's</t>
  </si>
  <si>
    <t>NET / SET</t>
  </si>
  <si>
    <t>School</t>
  </si>
  <si>
    <t>SBS</t>
  </si>
  <si>
    <t>Biochemistry</t>
  </si>
  <si>
    <t>Biotechnology</t>
  </si>
  <si>
    <t>Botany</t>
  </si>
  <si>
    <t>Total</t>
  </si>
  <si>
    <t>Guides</t>
  </si>
  <si>
    <t>SCM</t>
  </si>
  <si>
    <t>Commerce</t>
  </si>
  <si>
    <t>Commerce CA</t>
  </si>
  <si>
    <t>Commerce Honours</t>
  </si>
  <si>
    <t>Commerce Strategic Finance</t>
  </si>
  <si>
    <t>Commerce Business Analytics</t>
  </si>
  <si>
    <t>SCS</t>
  </si>
  <si>
    <t>Artificial Intelligence</t>
  </si>
  <si>
    <t>SD &amp; SA</t>
  </si>
  <si>
    <t>Computer Science</t>
  </si>
  <si>
    <t>Data Science</t>
  </si>
  <si>
    <t>Information Technology</t>
  </si>
  <si>
    <t>Mathematics</t>
  </si>
  <si>
    <t>Statistics</t>
  </si>
  <si>
    <t>Commerce-Shift-II</t>
  </si>
  <si>
    <t>Computer Science-Shift-II</t>
  </si>
  <si>
    <t>Mathematics-Shift-II</t>
  </si>
  <si>
    <t>SLAC</t>
  </si>
  <si>
    <t>English</t>
  </si>
  <si>
    <t>French</t>
  </si>
  <si>
    <t>Hindi</t>
  </si>
  <si>
    <t>History</t>
  </si>
  <si>
    <t>Sanskrit</t>
  </si>
  <si>
    <t>Tamil</t>
  </si>
  <si>
    <t>English-Shift-II</t>
  </si>
  <si>
    <t>Tamil-Shift-II</t>
  </si>
  <si>
    <t>SMS</t>
  </si>
  <si>
    <t>BBA</t>
  </si>
  <si>
    <t>MBA</t>
  </si>
  <si>
    <t>Counselling Psy</t>
  </si>
  <si>
    <t>Economics</t>
  </si>
  <si>
    <t>HRM</t>
  </si>
  <si>
    <t>Physical Education</t>
  </si>
  <si>
    <t>Visual Communication</t>
  </si>
  <si>
    <t>SPS</t>
  </si>
  <si>
    <t>Chemistry</t>
  </si>
  <si>
    <t>Electronics</t>
  </si>
  <si>
    <t>Physics</t>
  </si>
  <si>
    <t>Other Departments</t>
  </si>
  <si>
    <t>Library</t>
  </si>
  <si>
    <t>Human Excellence</t>
  </si>
  <si>
    <t>Placement Officer</t>
  </si>
  <si>
    <t>Physics-Shift-II</t>
  </si>
  <si>
    <t>Total Faculty</t>
  </si>
  <si>
    <t>Faculty Details - 2025-26</t>
  </si>
  <si>
    <t>Faculty Details - 2024-25</t>
  </si>
  <si>
    <t>Faculty Details - 2023-24</t>
  </si>
  <si>
    <t>Shift-I</t>
  </si>
  <si>
    <t>Shift-II</t>
  </si>
  <si>
    <t>Final Faculty Count</t>
  </si>
  <si>
    <t>2025-26</t>
  </si>
  <si>
    <t>2024-25</t>
  </si>
  <si>
    <t>2023-24</t>
  </si>
  <si>
    <t>Internal Quality Assurance Cell (IQAC)</t>
  </si>
  <si>
    <t>S.No</t>
  </si>
  <si>
    <t>Shift  I</t>
  </si>
  <si>
    <t>Shift  II</t>
  </si>
  <si>
    <t>Male</t>
  </si>
  <si>
    <t>Female</t>
  </si>
  <si>
    <t>Faculty with guideship</t>
  </si>
  <si>
    <t>Faculty with PhD without guideship</t>
  </si>
  <si>
    <t xml:space="preserve">Faculty without PhD </t>
  </si>
  <si>
    <t>NET/
SET</t>
  </si>
  <si>
    <t>Gender</t>
  </si>
  <si>
    <t>Appointment Type</t>
  </si>
  <si>
    <t>Shift - I</t>
  </si>
  <si>
    <t>Shift - II</t>
  </si>
  <si>
    <t>-</t>
  </si>
  <si>
    <t>SCO</t>
  </si>
  <si>
    <t>SLC</t>
  </si>
  <si>
    <t>Counselling Psychology</t>
  </si>
  <si>
    <t>Human Resource Management</t>
  </si>
  <si>
    <t>Visual Communication Technology</t>
  </si>
  <si>
    <t>*</t>
  </si>
  <si>
    <t>OTH</t>
  </si>
  <si>
    <t>Librarian</t>
  </si>
  <si>
    <t>Blue shade indicates S1 - Mgt/Secreatry</t>
  </si>
  <si>
    <r>
      <t xml:space="preserve">Summary Sheet - Faculty 2026 - 2027 </t>
    </r>
    <r>
      <rPr>
        <b/>
        <i/>
        <sz val="14"/>
        <color theme="1"/>
        <rFont val="Cambria"/>
        <family val="1"/>
      </rPr>
      <t>(as of 06.10.2026)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</si>
</sst>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2"/>
      <name val="Verdana"/>
      <family val="2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11"/>
      <color theme="1"/>
      <name val="Cambria"/>
      <family val="1"/>
    </font>
    <font>
      <b/>
      <i/>
      <sz val="14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name val="Cambria"/>
      <family val="1"/>
    </font>
    <font>
      <b/>
      <sz val="12"/>
      <color rgb="FFC00000"/>
      <name val="Cambria"/>
      <family val="1"/>
    </font>
    <font>
      <b/>
      <sz val="12"/>
      <name val="Cambria"/>
      <family val="1"/>
    </font>
    <font>
      <sz val="1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8" fillId="3" borderId="2" xfId="0" applyFont="1" applyFill="1" applyBorder="1" applyAlignment="1">
      <alignment horizontal="center" vertical="center" textRotation="90"/>
    </xf>
    <xf numFmtId="0" fontId="8" fillId="3" borderId="1" xfId="0" applyFont="1" applyFill="1" applyBorder="1" applyAlignment="1">
      <alignment horizontal="center" vertical="center" textRotation="90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textRotation="90"/>
    </xf>
    <xf numFmtId="0" fontId="8" fillId="3" borderId="4" xfId="0" applyFont="1" applyFill="1" applyBorder="1" applyAlignment="1">
      <alignment horizontal="center" vertical="center" textRotation="90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513D-359B-447F-8D89-2CC3E8C8545B}">
  <dimension ref="A1:W191"/>
  <sheetViews>
    <sheetView tabSelected="1" workbookViewId="0">
      <selection activeCell="O3" sqref="O3:Q3"/>
    </sheetView>
  </sheetViews>
  <sheetFormatPr defaultColWidth="9.1796875" defaultRowHeight="14" x14ac:dyDescent="0.3"/>
  <cols>
    <col min="1" max="2" width="7.1796875" style="10" customWidth="1"/>
    <col min="3" max="3" width="27" style="22" customWidth="1"/>
    <col min="4" max="4" width="8.1796875" style="10" customWidth="1"/>
    <col min="5" max="5" width="6.453125" style="10" customWidth="1"/>
    <col min="6" max="6" width="6.1796875" style="10" customWidth="1"/>
    <col min="7" max="7" width="5.26953125" style="10" customWidth="1"/>
    <col min="8" max="8" width="6.453125" style="10" customWidth="1"/>
    <col min="9" max="10" width="5.81640625" style="10" customWidth="1"/>
    <col min="11" max="11" width="4.81640625" style="10" customWidth="1"/>
    <col min="12" max="12" width="6.7265625" style="10" customWidth="1"/>
    <col min="13" max="13" width="7" style="10" customWidth="1"/>
    <col min="14" max="14" width="7.453125" style="10" customWidth="1"/>
    <col min="15" max="15" width="6.7265625" style="10" customWidth="1"/>
    <col min="16" max="16" width="7.26953125" style="10" customWidth="1"/>
    <col min="17" max="17" width="6.1796875" style="10" customWidth="1"/>
    <col min="18" max="18" width="6.26953125" style="10" customWidth="1"/>
    <col min="19" max="19" width="7" style="10" customWidth="1"/>
    <col min="20" max="20" width="6.26953125" style="10" customWidth="1"/>
    <col min="21" max="21" width="8.54296875" style="10" customWidth="1"/>
    <col min="22" max="22" width="9.1796875" style="10"/>
    <col min="23" max="23" width="9.1796875" style="10" hidden="1" customWidth="1"/>
    <col min="24" max="16384" width="9.1796875" style="10"/>
  </cols>
  <sheetData>
    <row r="1" spans="1:23" ht="17.5" x14ac:dyDescent="0.35">
      <c r="A1" s="48" t="s">
        <v>66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23" ht="15" customHeight="1" x14ac:dyDescent="0.35">
      <c r="A2" s="48" t="s">
        <v>90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23" ht="68" x14ac:dyDescent="0.3">
      <c r="A3" s="39" t="s">
        <v>67</v>
      </c>
      <c r="B3" s="44" t="s">
        <v>6</v>
      </c>
      <c r="C3" s="35" t="s">
        <v>0</v>
      </c>
      <c r="D3" s="35" t="s">
        <v>56</v>
      </c>
      <c r="E3" s="35" t="s">
        <v>68</v>
      </c>
      <c r="F3" s="35" t="s">
        <v>69</v>
      </c>
      <c r="G3" s="12" t="s">
        <v>70</v>
      </c>
      <c r="H3" s="12" t="s">
        <v>71</v>
      </c>
      <c r="I3" s="12" t="s">
        <v>1</v>
      </c>
      <c r="J3" s="12" t="s">
        <v>2</v>
      </c>
      <c r="K3" s="12" t="s">
        <v>3</v>
      </c>
      <c r="L3" s="35" t="s">
        <v>72</v>
      </c>
      <c r="M3" s="35"/>
      <c r="N3" s="35"/>
      <c r="O3" s="35" t="s">
        <v>73</v>
      </c>
      <c r="P3" s="35"/>
      <c r="Q3" s="35"/>
      <c r="R3" s="35" t="s">
        <v>74</v>
      </c>
      <c r="S3" s="35"/>
      <c r="T3" s="35"/>
      <c r="U3" s="13" t="s">
        <v>75</v>
      </c>
    </row>
    <row r="4" spans="1:23" x14ac:dyDescent="0.3">
      <c r="A4" s="39"/>
      <c r="B4" s="45"/>
      <c r="C4" s="35"/>
      <c r="D4" s="35"/>
      <c r="E4" s="35"/>
      <c r="F4" s="35"/>
      <c r="G4" s="39" t="s">
        <v>76</v>
      </c>
      <c r="H4" s="39"/>
      <c r="I4" s="40" t="s">
        <v>77</v>
      </c>
      <c r="J4" s="40"/>
      <c r="K4" s="40"/>
      <c r="L4" s="14" t="s">
        <v>78</v>
      </c>
      <c r="M4" s="14" t="s">
        <v>79</v>
      </c>
      <c r="N4" s="14" t="s">
        <v>11</v>
      </c>
      <c r="O4" s="14" t="s">
        <v>78</v>
      </c>
      <c r="P4" s="14" t="s">
        <v>79</v>
      </c>
      <c r="Q4" s="14" t="s">
        <v>11</v>
      </c>
      <c r="R4" s="14" t="s">
        <v>78</v>
      </c>
      <c r="S4" s="14" t="s">
        <v>79</v>
      </c>
      <c r="T4" s="14" t="s">
        <v>11</v>
      </c>
      <c r="U4" s="14" t="s">
        <v>11</v>
      </c>
    </row>
    <row r="5" spans="1:23" ht="20.149999999999999" customHeight="1" x14ac:dyDescent="0.3">
      <c r="A5" s="15">
        <v>1</v>
      </c>
      <c r="B5" s="31" t="s">
        <v>7</v>
      </c>
      <c r="C5" s="16" t="s">
        <v>8</v>
      </c>
      <c r="D5" s="17">
        <f>SUM(E5:F5)</f>
        <v>3</v>
      </c>
      <c r="E5" s="18" t="s">
        <v>80</v>
      </c>
      <c r="F5" s="18">
        <v>3</v>
      </c>
      <c r="G5" s="18">
        <v>3</v>
      </c>
      <c r="H5" s="18" t="s">
        <v>80</v>
      </c>
      <c r="I5" s="18" t="s">
        <v>80</v>
      </c>
      <c r="J5" s="18">
        <v>3</v>
      </c>
      <c r="K5" s="18" t="s">
        <v>80</v>
      </c>
      <c r="L5" s="18" t="s">
        <v>80</v>
      </c>
      <c r="M5" s="18">
        <v>0</v>
      </c>
      <c r="N5" s="18">
        <f t="shared" ref="N5:N23" si="0">SUM(L5:M5)</f>
        <v>0</v>
      </c>
      <c r="O5" s="18" t="s">
        <v>80</v>
      </c>
      <c r="P5" s="18">
        <v>1</v>
      </c>
      <c r="Q5" s="18">
        <f>SUM(O5:P5)</f>
        <v>1</v>
      </c>
      <c r="R5" s="18" t="s">
        <v>80</v>
      </c>
      <c r="S5" s="18">
        <v>2</v>
      </c>
      <c r="T5" s="18">
        <f>SUM(R5:S5)</f>
        <v>2</v>
      </c>
      <c r="U5" s="19">
        <v>3</v>
      </c>
    </row>
    <row r="6" spans="1:23" ht="20.149999999999999" customHeight="1" x14ac:dyDescent="0.3">
      <c r="A6" s="15">
        <v>2</v>
      </c>
      <c r="B6" s="33"/>
      <c r="C6" s="16" t="s">
        <v>9</v>
      </c>
      <c r="D6" s="17">
        <f t="shared" ref="D6:D40" si="1">SUM(E6:F6)</f>
        <v>8</v>
      </c>
      <c r="E6" s="18" t="s">
        <v>80</v>
      </c>
      <c r="F6" s="18">
        <v>8</v>
      </c>
      <c r="G6" s="18">
        <v>4</v>
      </c>
      <c r="H6" s="18">
        <v>4</v>
      </c>
      <c r="I6" s="18" t="s">
        <v>80</v>
      </c>
      <c r="J6" s="18">
        <v>7</v>
      </c>
      <c r="K6" s="18">
        <v>1</v>
      </c>
      <c r="L6" s="18"/>
      <c r="M6" s="18">
        <v>1</v>
      </c>
      <c r="N6" s="18">
        <f t="shared" si="0"/>
        <v>1</v>
      </c>
      <c r="O6" s="18" t="s">
        <v>80</v>
      </c>
      <c r="P6" s="18">
        <v>7</v>
      </c>
      <c r="Q6" s="18">
        <f t="shared" ref="Q6:Q40" si="2">SUM(O6:P6)</f>
        <v>7</v>
      </c>
      <c r="R6" s="18" t="s">
        <v>80</v>
      </c>
      <c r="S6" s="18" t="s">
        <v>80</v>
      </c>
      <c r="T6" s="18">
        <f t="shared" ref="T6:T23" si="3">SUM(R6:S6)</f>
        <v>0</v>
      </c>
      <c r="U6" s="19">
        <v>3</v>
      </c>
      <c r="W6" s="10">
        <f t="shared" ref="W6:W23" si="4">Q6+N6</f>
        <v>8</v>
      </c>
    </row>
    <row r="7" spans="1:23" ht="20.149999999999999" customHeight="1" x14ac:dyDescent="0.3">
      <c r="A7" s="15">
        <v>3</v>
      </c>
      <c r="B7" s="32"/>
      <c r="C7" s="16" t="s">
        <v>10</v>
      </c>
      <c r="D7" s="17">
        <f t="shared" si="1"/>
        <v>12</v>
      </c>
      <c r="E7" s="18">
        <v>12</v>
      </c>
      <c r="F7" s="18" t="s">
        <v>80</v>
      </c>
      <c r="G7" s="18">
        <v>11</v>
      </c>
      <c r="H7" s="18">
        <v>1</v>
      </c>
      <c r="I7" s="18">
        <v>12</v>
      </c>
      <c r="J7" s="18" t="s">
        <v>80</v>
      </c>
      <c r="K7" s="18" t="s">
        <v>80</v>
      </c>
      <c r="L7" s="18">
        <v>9</v>
      </c>
      <c r="M7" s="18" t="s">
        <v>80</v>
      </c>
      <c r="N7" s="18">
        <f t="shared" si="0"/>
        <v>9</v>
      </c>
      <c r="O7" s="18">
        <v>3</v>
      </c>
      <c r="P7" s="18" t="s">
        <v>80</v>
      </c>
      <c r="Q7" s="18">
        <f t="shared" si="2"/>
        <v>3</v>
      </c>
      <c r="R7" s="18" t="s">
        <v>80</v>
      </c>
      <c r="S7" s="18" t="s">
        <v>80</v>
      </c>
      <c r="T7" s="18">
        <f t="shared" si="3"/>
        <v>0</v>
      </c>
      <c r="U7" s="19">
        <v>2</v>
      </c>
      <c r="W7" s="10">
        <f t="shared" si="4"/>
        <v>12</v>
      </c>
    </row>
    <row r="8" spans="1:23" ht="20.149999999999999" customHeight="1" x14ac:dyDescent="0.3">
      <c r="A8" s="15">
        <v>4</v>
      </c>
      <c r="B8" s="31" t="s">
        <v>81</v>
      </c>
      <c r="C8" s="16" t="s">
        <v>14</v>
      </c>
      <c r="D8" s="17">
        <f t="shared" si="1"/>
        <v>25</v>
      </c>
      <c r="E8" s="20">
        <v>14</v>
      </c>
      <c r="F8" s="18">
        <v>11</v>
      </c>
      <c r="G8" s="18">
        <v>19</v>
      </c>
      <c r="H8" s="18">
        <v>6</v>
      </c>
      <c r="I8" s="18">
        <v>13</v>
      </c>
      <c r="J8" s="18">
        <v>9</v>
      </c>
      <c r="K8" s="18">
        <v>3</v>
      </c>
      <c r="L8" s="18">
        <v>3</v>
      </c>
      <c r="M8" s="18">
        <v>1</v>
      </c>
      <c r="N8" s="18">
        <f t="shared" si="0"/>
        <v>4</v>
      </c>
      <c r="O8" s="18">
        <v>9</v>
      </c>
      <c r="P8" s="18">
        <v>6</v>
      </c>
      <c r="Q8" s="18">
        <f t="shared" si="2"/>
        <v>15</v>
      </c>
      <c r="R8" s="18">
        <v>2</v>
      </c>
      <c r="S8" s="18">
        <v>4</v>
      </c>
      <c r="T8" s="18">
        <f t="shared" si="3"/>
        <v>6</v>
      </c>
      <c r="U8" s="19">
        <v>12</v>
      </c>
      <c r="W8" s="10">
        <f t="shared" si="4"/>
        <v>19</v>
      </c>
    </row>
    <row r="9" spans="1:23" ht="20.149999999999999" customHeight="1" x14ac:dyDescent="0.3">
      <c r="A9" s="15">
        <v>6</v>
      </c>
      <c r="B9" s="33"/>
      <c r="C9" s="21" t="s">
        <v>15</v>
      </c>
      <c r="D9" s="26">
        <v>15</v>
      </c>
      <c r="E9" s="29" t="s">
        <v>80</v>
      </c>
      <c r="F9" s="29">
        <v>15</v>
      </c>
      <c r="G9" s="29">
        <v>7</v>
      </c>
      <c r="H9" s="29">
        <v>8</v>
      </c>
      <c r="I9" s="29" t="s">
        <v>80</v>
      </c>
      <c r="J9" s="29">
        <v>11</v>
      </c>
      <c r="K9" s="29">
        <v>4</v>
      </c>
      <c r="L9" s="29" t="s">
        <v>80</v>
      </c>
      <c r="M9" s="29">
        <v>4</v>
      </c>
      <c r="N9" s="29">
        <f t="shared" si="0"/>
        <v>4</v>
      </c>
      <c r="O9" s="29" t="s">
        <v>80</v>
      </c>
      <c r="P9" s="29">
        <v>7</v>
      </c>
      <c r="Q9" s="29">
        <f>SUM(O9:P9)</f>
        <v>7</v>
      </c>
      <c r="R9" s="29" t="s">
        <v>80</v>
      </c>
      <c r="S9" s="29">
        <v>4</v>
      </c>
      <c r="T9" s="29">
        <v>4</v>
      </c>
      <c r="U9" s="56">
        <v>5</v>
      </c>
      <c r="W9" s="10">
        <f t="shared" si="4"/>
        <v>11</v>
      </c>
    </row>
    <row r="10" spans="1:23" ht="30" customHeight="1" x14ac:dyDescent="0.3">
      <c r="A10" s="15">
        <v>5</v>
      </c>
      <c r="B10" s="33"/>
      <c r="C10" s="16" t="s">
        <v>18</v>
      </c>
      <c r="D10" s="17">
        <f t="shared" si="1"/>
        <v>4</v>
      </c>
      <c r="E10" s="18" t="s">
        <v>80</v>
      </c>
      <c r="F10" s="18">
        <v>4</v>
      </c>
      <c r="G10" s="18">
        <v>2</v>
      </c>
      <c r="H10" s="18">
        <v>2</v>
      </c>
      <c r="I10" s="18" t="s">
        <v>80</v>
      </c>
      <c r="J10" s="18">
        <v>3</v>
      </c>
      <c r="K10" s="18">
        <v>1</v>
      </c>
      <c r="L10" s="18" t="s">
        <v>80</v>
      </c>
      <c r="M10" s="18" t="s">
        <v>80</v>
      </c>
      <c r="N10" s="18">
        <f t="shared" si="0"/>
        <v>0</v>
      </c>
      <c r="O10" s="18" t="s">
        <v>80</v>
      </c>
      <c r="P10" s="18">
        <v>2</v>
      </c>
      <c r="Q10" s="18">
        <f t="shared" si="2"/>
        <v>2</v>
      </c>
      <c r="R10" s="18" t="s">
        <v>80</v>
      </c>
      <c r="S10" s="18">
        <v>2</v>
      </c>
      <c r="T10" s="18">
        <f t="shared" si="3"/>
        <v>2</v>
      </c>
      <c r="U10" s="19">
        <v>2</v>
      </c>
      <c r="W10" s="10">
        <f t="shared" si="4"/>
        <v>2</v>
      </c>
    </row>
    <row r="11" spans="1:23" ht="20.149999999999999" customHeight="1" x14ac:dyDescent="0.3">
      <c r="A11" s="15">
        <v>7</v>
      </c>
      <c r="B11" s="33"/>
      <c r="C11" s="21" t="s">
        <v>16</v>
      </c>
      <c r="D11" s="17">
        <f t="shared" si="1"/>
        <v>4</v>
      </c>
      <c r="E11" s="18" t="s">
        <v>80</v>
      </c>
      <c r="F11" s="18">
        <v>4</v>
      </c>
      <c r="G11" s="18">
        <v>3</v>
      </c>
      <c r="H11" s="18">
        <v>1</v>
      </c>
      <c r="I11" s="18" t="s">
        <v>80</v>
      </c>
      <c r="J11" s="18">
        <v>4</v>
      </c>
      <c r="K11" s="18" t="s">
        <v>80</v>
      </c>
      <c r="L11" s="18" t="s">
        <v>80</v>
      </c>
      <c r="M11" s="18" t="s">
        <v>80</v>
      </c>
      <c r="N11" s="18">
        <f t="shared" si="0"/>
        <v>0</v>
      </c>
      <c r="O11" s="18" t="s">
        <v>80</v>
      </c>
      <c r="P11" s="18">
        <v>3</v>
      </c>
      <c r="Q11" s="18">
        <f t="shared" si="2"/>
        <v>3</v>
      </c>
      <c r="R11" s="18" t="s">
        <v>80</v>
      </c>
      <c r="S11" s="18">
        <v>1</v>
      </c>
      <c r="T11" s="18">
        <f t="shared" si="3"/>
        <v>1</v>
      </c>
      <c r="U11" s="19">
        <v>3</v>
      </c>
      <c r="W11" s="10">
        <f t="shared" si="4"/>
        <v>3</v>
      </c>
    </row>
    <row r="12" spans="1:23" ht="30.75" customHeight="1" x14ac:dyDescent="0.3">
      <c r="A12" s="15">
        <v>8</v>
      </c>
      <c r="B12" s="32"/>
      <c r="C12" s="16" t="s">
        <v>17</v>
      </c>
      <c r="D12" s="17">
        <f t="shared" si="1"/>
        <v>2</v>
      </c>
      <c r="E12" s="18" t="s">
        <v>80</v>
      </c>
      <c r="F12" s="18">
        <v>2</v>
      </c>
      <c r="G12" s="18" t="s">
        <v>80</v>
      </c>
      <c r="H12" s="18">
        <v>2</v>
      </c>
      <c r="I12" s="18" t="s">
        <v>80</v>
      </c>
      <c r="J12" s="18">
        <v>2</v>
      </c>
      <c r="K12" s="18" t="s">
        <v>80</v>
      </c>
      <c r="L12" s="18" t="s">
        <v>80</v>
      </c>
      <c r="M12" s="18" t="s">
        <v>80</v>
      </c>
      <c r="N12" s="18">
        <f t="shared" si="0"/>
        <v>0</v>
      </c>
      <c r="O12" s="18" t="s">
        <v>80</v>
      </c>
      <c r="P12" s="18">
        <v>1</v>
      </c>
      <c r="Q12" s="18">
        <f t="shared" si="2"/>
        <v>1</v>
      </c>
      <c r="R12" s="18" t="s">
        <v>80</v>
      </c>
      <c r="S12" s="18">
        <v>1</v>
      </c>
      <c r="T12" s="18">
        <f t="shared" si="3"/>
        <v>1</v>
      </c>
      <c r="U12" s="19">
        <v>1</v>
      </c>
      <c r="W12" s="10">
        <f t="shared" si="4"/>
        <v>1</v>
      </c>
    </row>
    <row r="13" spans="1:23" ht="20.149999999999999" customHeight="1" x14ac:dyDescent="0.3">
      <c r="A13" s="15">
        <v>9</v>
      </c>
      <c r="B13" s="31" t="s">
        <v>19</v>
      </c>
      <c r="C13" s="16" t="s">
        <v>20</v>
      </c>
      <c r="D13" s="17">
        <f t="shared" si="1"/>
        <v>10</v>
      </c>
      <c r="E13" s="18" t="s">
        <v>80</v>
      </c>
      <c r="F13" s="18">
        <v>10</v>
      </c>
      <c r="G13" s="18">
        <v>4</v>
      </c>
      <c r="H13" s="18">
        <v>6</v>
      </c>
      <c r="I13" s="18" t="s">
        <v>80</v>
      </c>
      <c r="J13" s="18">
        <v>7</v>
      </c>
      <c r="K13" s="18">
        <v>3</v>
      </c>
      <c r="L13" s="18" t="s">
        <v>80</v>
      </c>
      <c r="M13" s="18" t="s">
        <v>80</v>
      </c>
      <c r="N13" s="18">
        <f t="shared" si="0"/>
        <v>0</v>
      </c>
      <c r="O13" s="18" t="s">
        <v>80</v>
      </c>
      <c r="P13" s="18">
        <v>4</v>
      </c>
      <c r="Q13" s="18">
        <f t="shared" si="2"/>
        <v>4</v>
      </c>
      <c r="R13" s="18" t="s">
        <v>80</v>
      </c>
      <c r="S13" s="18">
        <v>6</v>
      </c>
      <c r="T13" s="18">
        <f t="shared" si="3"/>
        <v>6</v>
      </c>
      <c r="U13" s="19">
        <v>3</v>
      </c>
      <c r="W13" s="10">
        <f t="shared" si="4"/>
        <v>4</v>
      </c>
    </row>
    <row r="14" spans="1:23" ht="20.149999999999999" customHeight="1" x14ac:dyDescent="0.3">
      <c r="A14" s="15">
        <v>10</v>
      </c>
      <c r="B14" s="33"/>
      <c r="C14" s="16" t="s">
        <v>21</v>
      </c>
      <c r="D14" s="17">
        <f t="shared" si="1"/>
        <v>6</v>
      </c>
      <c r="E14" s="18" t="s">
        <v>80</v>
      </c>
      <c r="F14" s="18">
        <v>6</v>
      </c>
      <c r="G14" s="18">
        <v>2</v>
      </c>
      <c r="H14" s="18">
        <v>4</v>
      </c>
      <c r="I14" s="18" t="s">
        <v>80</v>
      </c>
      <c r="J14" s="18">
        <v>3</v>
      </c>
      <c r="K14" s="18">
        <v>3</v>
      </c>
      <c r="L14" s="18" t="s">
        <v>80</v>
      </c>
      <c r="M14" s="18" t="s">
        <v>80</v>
      </c>
      <c r="N14" s="18">
        <f t="shared" si="0"/>
        <v>0</v>
      </c>
      <c r="O14" s="18" t="s">
        <v>80</v>
      </c>
      <c r="P14" s="18">
        <v>2</v>
      </c>
      <c r="Q14" s="18">
        <f t="shared" si="2"/>
        <v>2</v>
      </c>
      <c r="R14" s="18" t="s">
        <v>80</v>
      </c>
      <c r="S14" s="18">
        <v>4</v>
      </c>
      <c r="T14" s="18">
        <f t="shared" si="3"/>
        <v>4</v>
      </c>
      <c r="U14" s="19">
        <v>2</v>
      </c>
      <c r="W14" s="10">
        <f t="shared" si="4"/>
        <v>2</v>
      </c>
    </row>
    <row r="15" spans="1:23" ht="20.149999999999999" customHeight="1" x14ac:dyDescent="0.3">
      <c r="A15" s="15">
        <v>11</v>
      </c>
      <c r="B15" s="33"/>
      <c r="C15" s="16" t="s">
        <v>22</v>
      </c>
      <c r="D15" s="17">
        <f t="shared" si="1"/>
        <v>29</v>
      </c>
      <c r="E15" s="20">
        <v>13</v>
      </c>
      <c r="F15" s="18">
        <v>16</v>
      </c>
      <c r="G15" s="18">
        <v>15</v>
      </c>
      <c r="H15" s="18">
        <v>14</v>
      </c>
      <c r="I15" s="18">
        <v>11</v>
      </c>
      <c r="J15" s="18">
        <v>11</v>
      </c>
      <c r="K15" s="18">
        <v>7</v>
      </c>
      <c r="L15" s="18">
        <v>7</v>
      </c>
      <c r="M15" s="18" t="s">
        <v>80</v>
      </c>
      <c r="N15" s="18">
        <f t="shared" si="0"/>
        <v>7</v>
      </c>
      <c r="O15" s="18">
        <v>5</v>
      </c>
      <c r="P15" s="18">
        <v>7</v>
      </c>
      <c r="Q15" s="18">
        <f t="shared" si="2"/>
        <v>12</v>
      </c>
      <c r="R15" s="18">
        <v>1</v>
      </c>
      <c r="S15" s="18">
        <v>9</v>
      </c>
      <c r="T15" s="18">
        <f t="shared" si="3"/>
        <v>10</v>
      </c>
      <c r="U15" s="19">
        <v>13</v>
      </c>
      <c r="W15" s="10">
        <f t="shared" si="4"/>
        <v>19</v>
      </c>
    </row>
    <row r="16" spans="1:23" ht="20.149999999999999" customHeight="1" x14ac:dyDescent="0.3">
      <c r="A16" s="15">
        <v>12</v>
      </c>
      <c r="B16" s="33"/>
      <c r="C16" s="16" t="s">
        <v>23</v>
      </c>
      <c r="D16" s="17">
        <f t="shared" si="1"/>
        <v>5</v>
      </c>
      <c r="E16" s="18" t="s">
        <v>80</v>
      </c>
      <c r="F16" s="18">
        <v>5</v>
      </c>
      <c r="G16" s="18">
        <v>3</v>
      </c>
      <c r="H16" s="18">
        <v>2</v>
      </c>
      <c r="I16" s="18" t="s">
        <v>80</v>
      </c>
      <c r="J16" s="18">
        <v>5</v>
      </c>
      <c r="K16" s="18" t="s">
        <v>80</v>
      </c>
      <c r="L16" s="18" t="s">
        <v>80</v>
      </c>
      <c r="M16" s="18" t="s">
        <v>80</v>
      </c>
      <c r="N16" s="18">
        <f t="shared" si="0"/>
        <v>0</v>
      </c>
      <c r="O16" s="18" t="s">
        <v>80</v>
      </c>
      <c r="P16" s="18">
        <v>5</v>
      </c>
      <c r="Q16" s="18">
        <f t="shared" si="2"/>
        <v>5</v>
      </c>
      <c r="R16" s="18" t="s">
        <v>80</v>
      </c>
      <c r="S16" s="18" t="s">
        <v>80</v>
      </c>
      <c r="T16" s="18">
        <f t="shared" si="3"/>
        <v>0</v>
      </c>
      <c r="U16" s="19">
        <v>2</v>
      </c>
      <c r="W16" s="10">
        <f t="shared" si="4"/>
        <v>5</v>
      </c>
    </row>
    <row r="17" spans="1:23" ht="20.149999999999999" customHeight="1" x14ac:dyDescent="0.3">
      <c r="A17" s="15">
        <v>13</v>
      </c>
      <c r="B17" s="33"/>
      <c r="C17" s="16" t="s">
        <v>24</v>
      </c>
      <c r="D17" s="17">
        <f t="shared" si="1"/>
        <v>16</v>
      </c>
      <c r="E17" s="18" t="s">
        <v>80</v>
      </c>
      <c r="F17" s="18">
        <v>16</v>
      </c>
      <c r="G17" s="18">
        <v>8</v>
      </c>
      <c r="H17" s="18">
        <v>8</v>
      </c>
      <c r="I17" s="18" t="s">
        <v>80</v>
      </c>
      <c r="J17" s="18">
        <v>12</v>
      </c>
      <c r="K17" s="18">
        <v>4</v>
      </c>
      <c r="L17" s="18" t="s">
        <v>80</v>
      </c>
      <c r="M17" s="18" t="s">
        <v>80</v>
      </c>
      <c r="N17" s="18">
        <f t="shared" si="0"/>
        <v>0</v>
      </c>
      <c r="O17" s="18" t="s">
        <v>80</v>
      </c>
      <c r="P17" s="18">
        <v>11</v>
      </c>
      <c r="Q17" s="18">
        <f t="shared" si="2"/>
        <v>11</v>
      </c>
      <c r="R17" s="18" t="s">
        <v>80</v>
      </c>
      <c r="S17" s="18">
        <v>5</v>
      </c>
      <c r="T17" s="18">
        <f t="shared" si="3"/>
        <v>5</v>
      </c>
      <c r="U17" s="19">
        <v>1</v>
      </c>
      <c r="W17" s="10">
        <f t="shared" si="4"/>
        <v>11</v>
      </c>
    </row>
    <row r="18" spans="1:23" ht="20.149999999999999" customHeight="1" x14ac:dyDescent="0.3">
      <c r="A18" s="15">
        <v>14</v>
      </c>
      <c r="B18" s="33"/>
      <c r="C18" s="16" t="s">
        <v>25</v>
      </c>
      <c r="D18" s="17">
        <f t="shared" si="1"/>
        <v>25</v>
      </c>
      <c r="E18" s="18">
        <v>16</v>
      </c>
      <c r="F18" s="18">
        <v>9</v>
      </c>
      <c r="G18" s="18">
        <v>16</v>
      </c>
      <c r="H18" s="18">
        <v>9</v>
      </c>
      <c r="I18" s="18">
        <v>16</v>
      </c>
      <c r="J18" s="18">
        <v>7</v>
      </c>
      <c r="K18" s="18">
        <v>2</v>
      </c>
      <c r="L18" s="18">
        <v>8</v>
      </c>
      <c r="M18" s="18" t="s">
        <v>80</v>
      </c>
      <c r="N18" s="18">
        <f t="shared" si="0"/>
        <v>8</v>
      </c>
      <c r="O18" s="18">
        <v>7</v>
      </c>
      <c r="P18" s="18">
        <v>9</v>
      </c>
      <c r="Q18" s="18">
        <f t="shared" si="2"/>
        <v>16</v>
      </c>
      <c r="R18" s="18">
        <v>1</v>
      </c>
      <c r="S18" s="18" t="s">
        <v>80</v>
      </c>
      <c r="T18" s="18">
        <f t="shared" si="3"/>
        <v>1</v>
      </c>
      <c r="U18" s="19">
        <v>12</v>
      </c>
      <c r="W18" s="10">
        <f t="shared" si="4"/>
        <v>24</v>
      </c>
    </row>
    <row r="19" spans="1:23" ht="20.149999999999999" customHeight="1" x14ac:dyDescent="0.3">
      <c r="A19" s="15">
        <v>15</v>
      </c>
      <c r="B19" s="32"/>
      <c r="C19" s="16" t="s">
        <v>26</v>
      </c>
      <c r="D19" s="17">
        <f t="shared" si="1"/>
        <v>6</v>
      </c>
      <c r="E19" s="18">
        <v>5</v>
      </c>
      <c r="F19" s="18">
        <v>1</v>
      </c>
      <c r="G19" s="18">
        <v>4</v>
      </c>
      <c r="H19" s="18">
        <v>2</v>
      </c>
      <c r="I19" s="18">
        <v>5</v>
      </c>
      <c r="J19" s="18"/>
      <c r="K19" s="18">
        <v>1</v>
      </c>
      <c r="L19" s="18"/>
      <c r="M19" s="18" t="s">
        <v>80</v>
      </c>
      <c r="N19" s="18">
        <f t="shared" si="0"/>
        <v>0</v>
      </c>
      <c r="O19" s="18">
        <v>4</v>
      </c>
      <c r="P19" s="18" t="s">
        <v>80</v>
      </c>
      <c r="Q19" s="18">
        <f t="shared" si="2"/>
        <v>4</v>
      </c>
      <c r="R19" s="18">
        <v>1</v>
      </c>
      <c r="S19" s="18">
        <v>1</v>
      </c>
      <c r="T19" s="18">
        <f t="shared" si="3"/>
        <v>2</v>
      </c>
      <c r="U19" s="19">
        <v>1</v>
      </c>
      <c r="W19" s="10">
        <f t="shared" si="4"/>
        <v>4</v>
      </c>
    </row>
    <row r="20" spans="1:23" ht="20.149999999999999" customHeight="1" x14ac:dyDescent="0.3">
      <c r="A20" s="15">
        <v>16</v>
      </c>
      <c r="B20" s="41" t="s">
        <v>82</v>
      </c>
      <c r="C20" s="16" t="s">
        <v>31</v>
      </c>
      <c r="D20" s="17">
        <f t="shared" si="1"/>
        <v>40</v>
      </c>
      <c r="E20" s="18">
        <v>20</v>
      </c>
      <c r="F20" s="18">
        <v>20</v>
      </c>
      <c r="G20" s="18">
        <v>27</v>
      </c>
      <c r="H20" s="18">
        <v>13</v>
      </c>
      <c r="I20" s="18">
        <v>20</v>
      </c>
      <c r="J20" s="18">
        <v>17</v>
      </c>
      <c r="K20" s="18">
        <v>3</v>
      </c>
      <c r="L20" s="18">
        <v>9</v>
      </c>
      <c r="M20" s="18" t="s">
        <v>80</v>
      </c>
      <c r="N20" s="18">
        <f t="shared" si="0"/>
        <v>9</v>
      </c>
      <c r="O20" s="18">
        <v>7</v>
      </c>
      <c r="P20" s="18">
        <v>9</v>
      </c>
      <c r="Q20" s="18">
        <f t="shared" si="2"/>
        <v>16</v>
      </c>
      <c r="R20" s="18">
        <v>4</v>
      </c>
      <c r="S20" s="18">
        <v>11</v>
      </c>
      <c r="T20" s="18">
        <f t="shared" si="3"/>
        <v>15</v>
      </c>
      <c r="U20" s="19">
        <v>26</v>
      </c>
      <c r="W20" s="10">
        <f t="shared" si="4"/>
        <v>25</v>
      </c>
    </row>
    <row r="21" spans="1:23" ht="20.149999999999999" customHeight="1" x14ac:dyDescent="0.3">
      <c r="A21" s="15">
        <v>17</v>
      </c>
      <c r="B21" s="41"/>
      <c r="C21" s="16" t="s">
        <v>32</v>
      </c>
      <c r="D21" s="17">
        <f t="shared" si="1"/>
        <v>1</v>
      </c>
      <c r="E21" s="18">
        <v>1</v>
      </c>
      <c r="F21" s="18" t="s">
        <v>80</v>
      </c>
      <c r="G21" s="18" t="s">
        <v>80</v>
      </c>
      <c r="H21" s="18">
        <v>1</v>
      </c>
      <c r="I21" s="18">
        <v>1</v>
      </c>
      <c r="J21" s="18" t="s">
        <v>80</v>
      </c>
      <c r="K21" s="18" t="s">
        <v>80</v>
      </c>
      <c r="L21" s="18" t="s">
        <v>80</v>
      </c>
      <c r="M21" s="18" t="s">
        <v>80</v>
      </c>
      <c r="N21" s="18">
        <f t="shared" si="0"/>
        <v>0</v>
      </c>
      <c r="O21" s="18" t="s">
        <v>80</v>
      </c>
      <c r="P21" s="18" t="s">
        <v>80</v>
      </c>
      <c r="Q21" s="18">
        <f t="shared" si="2"/>
        <v>0</v>
      </c>
      <c r="R21" s="18">
        <v>1</v>
      </c>
      <c r="S21" s="18" t="s">
        <v>80</v>
      </c>
      <c r="T21" s="18">
        <f t="shared" si="3"/>
        <v>1</v>
      </c>
      <c r="U21" s="19">
        <v>1</v>
      </c>
      <c r="W21" s="10">
        <f t="shared" si="4"/>
        <v>0</v>
      </c>
    </row>
    <row r="22" spans="1:23" ht="20.149999999999999" customHeight="1" x14ac:dyDescent="0.3">
      <c r="A22" s="15">
        <v>18</v>
      </c>
      <c r="B22" s="41"/>
      <c r="C22" s="16" t="s">
        <v>33</v>
      </c>
      <c r="D22" s="17">
        <f t="shared" si="1"/>
        <v>1</v>
      </c>
      <c r="E22" s="18">
        <v>1</v>
      </c>
      <c r="F22" s="18" t="s">
        <v>80</v>
      </c>
      <c r="G22" s="18" t="s">
        <v>80</v>
      </c>
      <c r="H22" s="18">
        <v>1</v>
      </c>
      <c r="I22" s="18">
        <v>1</v>
      </c>
      <c r="J22" s="18" t="s">
        <v>80</v>
      </c>
      <c r="K22" s="18" t="s">
        <v>80</v>
      </c>
      <c r="L22" s="18" t="s">
        <v>80</v>
      </c>
      <c r="M22" s="18" t="s">
        <v>80</v>
      </c>
      <c r="N22" s="18">
        <f t="shared" si="0"/>
        <v>0</v>
      </c>
      <c r="O22" s="18">
        <v>1</v>
      </c>
      <c r="P22" s="18" t="s">
        <v>80</v>
      </c>
      <c r="Q22" s="18">
        <f t="shared" si="2"/>
        <v>1</v>
      </c>
      <c r="R22" s="18" t="s">
        <v>80</v>
      </c>
      <c r="S22" s="18" t="s">
        <v>80</v>
      </c>
      <c r="T22" s="18">
        <f t="shared" si="3"/>
        <v>0</v>
      </c>
      <c r="U22" s="19">
        <v>1</v>
      </c>
      <c r="W22" s="10">
        <f t="shared" si="4"/>
        <v>1</v>
      </c>
    </row>
    <row r="23" spans="1:23" ht="20.149999999999999" customHeight="1" x14ac:dyDescent="0.3">
      <c r="A23" s="15">
        <v>19</v>
      </c>
      <c r="B23" s="41"/>
      <c r="C23" s="16" t="s">
        <v>34</v>
      </c>
      <c r="D23" s="17">
        <f t="shared" si="1"/>
        <v>9</v>
      </c>
      <c r="E23" s="18">
        <v>5</v>
      </c>
      <c r="F23" s="18">
        <v>4</v>
      </c>
      <c r="G23" s="18">
        <v>6</v>
      </c>
      <c r="H23" s="18">
        <v>3</v>
      </c>
      <c r="I23" s="18">
        <v>5</v>
      </c>
      <c r="J23" s="18">
        <v>2</v>
      </c>
      <c r="K23" s="18">
        <v>2</v>
      </c>
      <c r="L23" s="18">
        <v>1</v>
      </c>
      <c r="M23" s="18" t="s">
        <v>80</v>
      </c>
      <c r="N23" s="18">
        <f t="shared" si="0"/>
        <v>1</v>
      </c>
      <c r="O23" s="18">
        <v>4</v>
      </c>
      <c r="P23" s="18" t="s">
        <v>80</v>
      </c>
      <c r="Q23" s="18">
        <f t="shared" si="2"/>
        <v>4</v>
      </c>
      <c r="R23" s="18" t="s">
        <v>80</v>
      </c>
      <c r="S23" s="18">
        <v>4</v>
      </c>
      <c r="T23" s="18">
        <f t="shared" si="3"/>
        <v>4</v>
      </c>
      <c r="U23" s="19">
        <v>6</v>
      </c>
      <c r="W23" s="10">
        <f t="shared" si="4"/>
        <v>5</v>
      </c>
    </row>
    <row r="24" spans="1:23" ht="73.5" customHeight="1" x14ac:dyDescent="0.3">
      <c r="A24" s="42" t="s">
        <v>67</v>
      </c>
      <c r="B24" s="44" t="s">
        <v>6</v>
      </c>
      <c r="C24" s="46" t="s">
        <v>0</v>
      </c>
      <c r="D24" s="46" t="s">
        <v>56</v>
      </c>
      <c r="E24" s="35" t="s">
        <v>68</v>
      </c>
      <c r="F24" s="35" t="s">
        <v>69</v>
      </c>
      <c r="G24" s="11" t="s">
        <v>70</v>
      </c>
      <c r="H24" s="11" t="s">
        <v>71</v>
      </c>
      <c r="I24" s="12" t="s">
        <v>1</v>
      </c>
      <c r="J24" s="12" t="s">
        <v>2</v>
      </c>
      <c r="K24" s="12" t="s">
        <v>3</v>
      </c>
      <c r="L24" s="35" t="s">
        <v>72</v>
      </c>
      <c r="M24" s="35"/>
      <c r="N24" s="35"/>
      <c r="O24" s="35" t="s">
        <v>73</v>
      </c>
      <c r="P24" s="35"/>
      <c r="Q24" s="35"/>
      <c r="R24" s="36" t="s">
        <v>74</v>
      </c>
      <c r="S24" s="37"/>
      <c r="T24" s="38"/>
      <c r="U24" s="13" t="s">
        <v>75</v>
      </c>
    </row>
    <row r="25" spans="1:23" ht="20.149999999999999" customHeight="1" x14ac:dyDescent="0.3">
      <c r="A25" s="43"/>
      <c r="B25" s="45"/>
      <c r="C25" s="47"/>
      <c r="D25" s="47"/>
      <c r="E25" s="35"/>
      <c r="F25" s="35"/>
      <c r="G25" s="39" t="s">
        <v>76</v>
      </c>
      <c r="H25" s="39"/>
      <c r="I25" s="40" t="s">
        <v>77</v>
      </c>
      <c r="J25" s="40"/>
      <c r="K25" s="40"/>
      <c r="L25" s="14" t="s">
        <v>78</v>
      </c>
      <c r="M25" s="14" t="s">
        <v>79</v>
      </c>
      <c r="N25" s="14" t="s">
        <v>11</v>
      </c>
      <c r="O25" s="14" t="s">
        <v>78</v>
      </c>
      <c r="P25" s="14" t="s">
        <v>79</v>
      </c>
      <c r="Q25" s="14" t="s">
        <v>11</v>
      </c>
      <c r="R25" s="14" t="s">
        <v>78</v>
      </c>
      <c r="S25" s="14" t="s">
        <v>79</v>
      </c>
      <c r="T25" s="14" t="s">
        <v>11</v>
      </c>
      <c r="U25" s="14" t="s">
        <v>11</v>
      </c>
    </row>
    <row r="26" spans="1:23" ht="20.149999999999999" customHeight="1" x14ac:dyDescent="0.3">
      <c r="A26" s="15">
        <v>20</v>
      </c>
      <c r="B26" s="31" t="s">
        <v>82</v>
      </c>
      <c r="C26" s="16" t="s">
        <v>35</v>
      </c>
      <c r="D26" s="17">
        <f>SUM(E26:F26)</f>
        <v>1</v>
      </c>
      <c r="E26" s="18">
        <v>1</v>
      </c>
      <c r="F26" s="18" t="s">
        <v>80</v>
      </c>
      <c r="G26" s="18">
        <v>1</v>
      </c>
      <c r="H26" s="18" t="s">
        <v>80</v>
      </c>
      <c r="I26" s="18">
        <v>1</v>
      </c>
      <c r="J26" s="18" t="s">
        <v>80</v>
      </c>
      <c r="K26" s="18" t="s">
        <v>80</v>
      </c>
      <c r="L26" s="18" t="s">
        <v>80</v>
      </c>
      <c r="M26" s="18" t="s">
        <v>80</v>
      </c>
      <c r="N26" s="18">
        <f t="shared" ref="N26:N38" si="5">SUM(L26:M26)</f>
        <v>0</v>
      </c>
      <c r="O26" s="18">
        <v>1</v>
      </c>
      <c r="P26" s="18" t="s">
        <v>80</v>
      </c>
      <c r="Q26" s="18">
        <f>SUM(O26:P26)</f>
        <v>1</v>
      </c>
      <c r="R26" s="18" t="s">
        <v>80</v>
      </c>
      <c r="S26" s="18" t="s">
        <v>80</v>
      </c>
      <c r="T26" s="18">
        <f>SUM(R26:S26)</f>
        <v>0</v>
      </c>
      <c r="U26" s="18" t="s">
        <v>80</v>
      </c>
    </row>
    <row r="27" spans="1:23" ht="20.149999999999999" customHeight="1" x14ac:dyDescent="0.3">
      <c r="A27" s="15">
        <v>21</v>
      </c>
      <c r="B27" s="32"/>
      <c r="C27" s="16" t="s">
        <v>36</v>
      </c>
      <c r="D27" s="17">
        <f t="shared" si="1"/>
        <v>28</v>
      </c>
      <c r="E27" s="20">
        <v>12</v>
      </c>
      <c r="F27" s="18">
        <v>16</v>
      </c>
      <c r="G27" s="18">
        <v>20</v>
      </c>
      <c r="H27" s="18">
        <v>8</v>
      </c>
      <c r="I27" s="18">
        <v>11</v>
      </c>
      <c r="J27" s="18">
        <v>14</v>
      </c>
      <c r="K27" s="18">
        <v>3</v>
      </c>
      <c r="L27" s="18">
        <v>8</v>
      </c>
      <c r="M27" s="18" t="s">
        <v>80</v>
      </c>
      <c r="N27" s="18">
        <f t="shared" si="5"/>
        <v>8</v>
      </c>
      <c r="O27" s="18">
        <v>4</v>
      </c>
      <c r="P27" s="18">
        <v>11</v>
      </c>
      <c r="Q27" s="18">
        <f t="shared" si="2"/>
        <v>15</v>
      </c>
      <c r="R27" s="18" t="s">
        <v>80</v>
      </c>
      <c r="S27" s="18">
        <v>5</v>
      </c>
      <c r="T27" s="18">
        <f>SUM(R27:S27)</f>
        <v>5</v>
      </c>
      <c r="U27" s="19">
        <v>20</v>
      </c>
      <c r="W27" s="10">
        <f t="shared" ref="W27:W38" si="6">Q27+N27</f>
        <v>23</v>
      </c>
    </row>
    <row r="28" spans="1:23" ht="20.149999999999999" customHeight="1" x14ac:dyDescent="0.3">
      <c r="A28" s="15">
        <v>22</v>
      </c>
      <c r="B28" s="31" t="s">
        <v>39</v>
      </c>
      <c r="C28" s="16" t="s">
        <v>40</v>
      </c>
      <c r="D28" s="17">
        <f t="shared" si="1"/>
        <v>8</v>
      </c>
      <c r="E28" s="18" t="s">
        <v>80</v>
      </c>
      <c r="F28" s="18">
        <v>8</v>
      </c>
      <c r="G28" s="18">
        <v>6</v>
      </c>
      <c r="H28" s="18">
        <v>2</v>
      </c>
      <c r="I28" s="18" t="s">
        <v>80</v>
      </c>
      <c r="J28" s="18">
        <v>4</v>
      </c>
      <c r="K28" s="18">
        <v>4</v>
      </c>
      <c r="L28" s="18" t="s">
        <v>80</v>
      </c>
      <c r="M28" s="18" t="s">
        <v>80</v>
      </c>
      <c r="N28" s="18">
        <f t="shared" si="5"/>
        <v>0</v>
      </c>
      <c r="O28" s="18" t="s">
        <v>80</v>
      </c>
      <c r="P28" s="18" t="s">
        <v>80</v>
      </c>
      <c r="Q28" s="18">
        <f t="shared" si="2"/>
        <v>0</v>
      </c>
      <c r="R28" s="18" t="s">
        <v>80</v>
      </c>
      <c r="S28" s="18">
        <v>8</v>
      </c>
      <c r="T28" s="18">
        <f t="shared" ref="T28:T40" si="7">SUM(R28:S28)</f>
        <v>8</v>
      </c>
      <c r="U28" s="19">
        <v>4</v>
      </c>
      <c r="W28" s="10">
        <f t="shared" si="6"/>
        <v>0</v>
      </c>
    </row>
    <row r="29" spans="1:23" ht="20.149999999999999" customHeight="1" x14ac:dyDescent="0.3">
      <c r="A29" s="15">
        <v>23</v>
      </c>
      <c r="B29" s="33"/>
      <c r="C29" s="16" t="s">
        <v>41</v>
      </c>
      <c r="D29" s="17">
        <f t="shared" si="1"/>
        <v>16</v>
      </c>
      <c r="E29" s="18" t="s">
        <v>80</v>
      </c>
      <c r="F29" s="18">
        <v>16</v>
      </c>
      <c r="G29" s="18">
        <v>10</v>
      </c>
      <c r="H29" s="18">
        <v>6</v>
      </c>
      <c r="I29" s="18" t="s">
        <v>80</v>
      </c>
      <c r="J29" s="18">
        <v>16</v>
      </c>
      <c r="K29" s="18" t="s">
        <v>80</v>
      </c>
      <c r="L29" s="18" t="s">
        <v>80</v>
      </c>
      <c r="M29" s="18">
        <v>3</v>
      </c>
      <c r="N29" s="18">
        <f t="shared" si="5"/>
        <v>3</v>
      </c>
      <c r="O29" s="18" t="s">
        <v>80</v>
      </c>
      <c r="P29" s="18">
        <v>10</v>
      </c>
      <c r="Q29" s="18">
        <f t="shared" si="2"/>
        <v>10</v>
      </c>
      <c r="R29" s="18" t="s">
        <v>80</v>
      </c>
      <c r="S29" s="18">
        <v>3</v>
      </c>
      <c r="T29" s="18">
        <f t="shared" si="7"/>
        <v>3</v>
      </c>
      <c r="U29" s="19">
        <v>5</v>
      </c>
      <c r="W29" s="10">
        <f t="shared" si="6"/>
        <v>13</v>
      </c>
    </row>
    <row r="30" spans="1:23" ht="20.149999999999999" customHeight="1" x14ac:dyDescent="0.3">
      <c r="A30" s="15">
        <v>24</v>
      </c>
      <c r="B30" s="33"/>
      <c r="C30" s="16" t="s">
        <v>83</v>
      </c>
      <c r="D30" s="17">
        <f t="shared" si="1"/>
        <v>4</v>
      </c>
      <c r="E30" s="18" t="s">
        <v>80</v>
      </c>
      <c r="F30" s="18">
        <v>4</v>
      </c>
      <c r="G30" s="18">
        <v>2</v>
      </c>
      <c r="H30" s="18">
        <v>2</v>
      </c>
      <c r="I30" s="18" t="s">
        <v>80</v>
      </c>
      <c r="J30" s="18">
        <v>3</v>
      </c>
      <c r="K30" s="18">
        <v>1</v>
      </c>
      <c r="L30" s="18" t="s">
        <v>80</v>
      </c>
      <c r="M30" s="18" t="s">
        <v>80</v>
      </c>
      <c r="N30" s="18">
        <f t="shared" si="5"/>
        <v>0</v>
      </c>
      <c r="O30" s="18" t="s">
        <v>80</v>
      </c>
      <c r="P30" s="18">
        <v>2</v>
      </c>
      <c r="Q30" s="18">
        <f t="shared" si="2"/>
        <v>2</v>
      </c>
      <c r="R30" s="18" t="s">
        <v>80</v>
      </c>
      <c r="S30" s="18">
        <v>2</v>
      </c>
      <c r="T30" s="18">
        <f t="shared" si="7"/>
        <v>2</v>
      </c>
      <c r="U30" s="19">
        <v>1</v>
      </c>
      <c r="W30" s="10">
        <f t="shared" si="6"/>
        <v>2</v>
      </c>
    </row>
    <row r="31" spans="1:23" ht="20.149999999999999" customHeight="1" x14ac:dyDescent="0.3">
      <c r="A31" s="15">
        <v>25</v>
      </c>
      <c r="B31" s="33"/>
      <c r="C31" s="16" t="s">
        <v>43</v>
      </c>
      <c r="D31" s="17">
        <f t="shared" si="1"/>
        <v>11</v>
      </c>
      <c r="E31" s="20">
        <v>11</v>
      </c>
      <c r="F31" s="18" t="s">
        <v>80</v>
      </c>
      <c r="G31" s="18">
        <v>7</v>
      </c>
      <c r="H31" s="18">
        <v>4</v>
      </c>
      <c r="I31" s="18">
        <v>10</v>
      </c>
      <c r="J31" s="18" t="s">
        <v>80</v>
      </c>
      <c r="K31" s="18">
        <v>1</v>
      </c>
      <c r="L31" s="18">
        <v>7</v>
      </c>
      <c r="M31" s="18" t="s">
        <v>80</v>
      </c>
      <c r="N31" s="18">
        <f t="shared" si="5"/>
        <v>7</v>
      </c>
      <c r="O31" s="18">
        <v>1</v>
      </c>
      <c r="P31" s="18" t="s">
        <v>80</v>
      </c>
      <c r="Q31" s="18">
        <f t="shared" si="2"/>
        <v>1</v>
      </c>
      <c r="R31" s="18">
        <v>3</v>
      </c>
      <c r="S31" s="18" t="s">
        <v>80</v>
      </c>
      <c r="T31" s="18">
        <f t="shared" si="7"/>
        <v>3</v>
      </c>
      <c r="U31" s="19">
        <v>5</v>
      </c>
      <c r="W31" s="10">
        <f t="shared" si="6"/>
        <v>8</v>
      </c>
    </row>
    <row r="32" spans="1:23" ht="32.25" customHeight="1" x14ac:dyDescent="0.3">
      <c r="A32" s="15">
        <v>26</v>
      </c>
      <c r="B32" s="33"/>
      <c r="C32" s="16" t="s">
        <v>84</v>
      </c>
      <c r="D32" s="17">
        <f t="shared" si="1"/>
        <v>8</v>
      </c>
      <c r="E32" s="18">
        <v>5</v>
      </c>
      <c r="F32" s="18">
        <v>3</v>
      </c>
      <c r="G32" s="18">
        <v>5</v>
      </c>
      <c r="H32" s="18">
        <v>3</v>
      </c>
      <c r="I32" s="18">
        <v>5</v>
      </c>
      <c r="J32" s="18">
        <v>3</v>
      </c>
      <c r="K32" s="18" t="s">
        <v>80</v>
      </c>
      <c r="L32" s="18">
        <v>3</v>
      </c>
      <c r="M32" s="18">
        <v>1</v>
      </c>
      <c r="N32" s="18">
        <f t="shared" si="5"/>
        <v>4</v>
      </c>
      <c r="O32" s="18">
        <v>1</v>
      </c>
      <c r="P32" s="18">
        <v>1</v>
      </c>
      <c r="Q32" s="18">
        <f t="shared" si="2"/>
        <v>2</v>
      </c>
      <c r="R32" s="18">
        <v>1</v>
      </c>
      <c r="S32" s="18">
        <v>1</v>
      </c>
      <c r="T32" s="18">
        <f t="shared" si="7"/>
        <v>2</v>
      </c>
      <c r="U32" s="19">
        <v>5</v>
      </c>
      <c r="W32" s="10">
        <f t="shared" si="6"/>
        <v>6</v>
      </c>
    </row>
    <row r="33" spans="1:23" ht="20.149999999999999" customHeight="1" x14ac:dyDescent="0.3">
      <c r="A33" s="15">
        <v>27</v>
      </c>
      <c r="B33" s="33"/>
      <c r="C33" s="16" t="s">
        <v>45</v>
      </c>
      <c r="D33" s="17">
        <f t="shared" si="1"/>
        <v>4</v>
      </c>
      <c r="E33" s="18">
        <v>1</v>
      </c>
      <c r="F33" s="18">
        <v>3</v>
      </c>
      <c r="G33" s="18">
        <v>4</v>
      </c>
      <c r="H33" s="18" t="s">
        <v>80</v>
      </c>
      <c r="I33" s="18">
        <v>1</v>
      </c>
      <c r="J33" s="18">
        <v>2</v>
      </c>
      <c r="K33" s="18">
        <v>1</v>
      </c>
      <c r="L33" s="18" t="s">
        <v>80</v>
      </c>
      <c r="M33" s="18" t="s">
        <v>80</v>
      </c>
      <c r="N33" s="18">
        <f t="shared" si="5"/>
        <v>0</v>
      </c>
      <c r="O33" s="18">
        <v>1</v>
      </c>
      <c r="P33" s="18">
        <v>2</v>
      </c>
      <c r="Q33" s="18">
        <f t="shared" si="2"/>
        <v>3</v>
      </c>
      <c r="R33" s="18" t="s">
        <v>80</v>
      </c>
      <c r="S33" s="18">
        <v>1</v>
      </c>
      <c r="T33" s="18">
        <f t="shared" si="7"/>
        <v>1</v>
      </c>
      <c r="U33" s="19">
        <v>2</v>
      </c>
      <c r="W33" s="10">
        <f t="shared" si="6"/>
        <v>3</v>
      </c>
    </row>
    <row r="34" spans="1:23" ht="29.25" customHeight="1" x14ac:dyDescent="0.3">
      <c r="A34" s="15">
        <v>28</v>
      </c>
      <c r="B34" s="32"/>
      <c r="C34" s="16" t="s">
        <v>85</v>
      </c>
      <c r="D34" s="17">
        <f t="shared" si="1"/>
        <v>13</v>
      </c>
      <c r="E34" s="18" t="s">
        <v>80</v>
      </c>
      <c r="F34" s="18">
        <v>13</v>
      </c>
      <c r="G34" s="18">
        <v>8</v>
      </c>
      <c r="H34" s="18">
        <v>5</v>
      </c>
      <c r="I34" s="18" t="s">
        <v>80</v>
      </c>
      <c r="J34" s="18">
        <v>4</v>
      </c>
      <c r="K34" s="18">
        <v>9</v>
      </c>
      <c r="L34" s="18" t="s">
        <v>80</v>
      </c>
      <c r="M34" s="18" t="s">
        <v>80</v>
      </c>
      <c r="N34" s="18">
        <f t="shared" si="5"/>
        <v>0</v>
      </c>
      <c r="O34" s="18" t="s">
        <v>80</v>
      </c>
      <c r="P34" s="18">
        <v>4</v>
      </c>
      <c r="Q34" s="18">
        <f t="shared" si="2"/>
        <v>4</v>
      </c>
      <c r="R34" s="18" t="s">
        <v>80</v>
      </c>
      <c r="S34" s="18">
        <v>9</v>
      </c>
      <c r="T34" s="18">
        <f t="shared" si="7"/>
        <v>9</v>
      </c>
      <c r="U34" s="19">
        <v>4</v>
      </c>
      <c r="W34" s="10">
        <f t="shared" si="6"/>
        <v>4</v>
      </c>
    </row>
    <row r="35" spans="1:23" ht="20.149999999999999" customHeight="1" x14ac:dyDescent="0.3">
      <c r="A35" s="15">
        <v>29</v>
      </c>
      <c r="B35" s="31" t="s">
        <v>47</v>
      </c>
      <c r="C35" s="16" t="s">
        <v>48</v>
      </c>
      <c r="D35" s="17">
        <f t="shared" si="1"/>
        <v>22</v>
      </c>
      <c r="E35" s="18">
        <v>18</v>
      </c>
      <c r="F35" s="18">
        <v>4</v>
      </c>
      <c r="G35" s="18">
        <v>18</v>
      </c>
      <c r="H35" s="18">
        <v>4</v>
      </c>
      <c r="I35" s="18">
        <v>18</v>
      </c>
      <c r="J35" s="18">
        <v>2</v>
      </c>
      <c r="K35" s="18">
        <v>2</v>
      </c>
      <c r="L35" s="18">
        <v>7</v>
      </c>
      <c r="M35" s="18" t="s">
        <v>80</v>
      </c>
      <c r="N35" s="18">
        <f t="shared" si="5"/>
        <v>7</v>
      </c>
      <c r="O35" s="18">
        <v>10</v>
      </c>
      <c r="P35" s="18">
        <v>4</v>
      </c>
      <c r="Q35" s="18">
        <f t="shared" si="2"/>
        <v>14</v>
      </c>
      <c r="R35" s="18">
        <v>1</v>
      </c>
      <c r="S35" s="18" t="s">
        <v>80</v>
      </c>
      <c r="T35" s="18">
        <f t="shared" si="7"/>
        <v>1</v>
      </c>
      <c r="U35" s="19">
        <v>9</v>
      </c>
      <c r="W35" s="10">
        <f t="shared" si="6"/>
        <v>21</v>
      </c>
    </row>
    <row r="36" spans="1:23" ht="20.149999999999999" customHeight="1" x14ac:dyDescent="0.3">
      <c r="A36" s="15">
        <v>30</v>
      </c>
      <c r="B36" s="33"/>
      <c r="C36" s="16" t="s">
        <v>49</v>
      </c>
      <c r="D36" s="17">
        <f t="shared" si="1"/>
        <v>10</v>
      </c>
      <c r="E36" s="18"/>
      <c r="F36" s="18">
        <v>10</v>
      </c>
      <c r="G36" s="18">
        <v>7</v>
      </c>
      <c r="H36" s="18">
        <v>3</v>
      </c>
      <c r="I36" s="18" t="s">
        <v>80</v>
      </c>
      <c r="J36" s="18">
        <v>7</v>
      </c>
      <c r="K36" s="18">
        <v>3</v>
      </c>
      <c r="L36" s="18" t="s">
        <v>80</v>
      </c>
      <c r="M36" s="18" t="s">
        <v>80</v>
      </c>
      <c r="N36" s="18">
        <f t="shared" si="5"/>
        <v>0</v>
      </c>
      <c r="O36" s="18" t="s">
        <v>80</v>
      </c>
      <c r="P36" s="18">
        <v>7</v>
      </c>
      <c r="Q36" s="18">
        <f t="shared" si="2"/>
        <v>7</v>
      </c>
      <c r="R36" s="18" t="s">
        <v>80</v>
      </c>
      <c r="S36" s="18">
        <v>3</v>
      </c>
      <c r="T36" s="18">
        <f t="shared" si="7"/>
        <v>3</v>
      </c>
      <c r="U36" s="19">
        <v>1</v>
      </c>
      <c r="W36" s="10">
        <f t="shared" si="6"/>
        <v>7</v>
      </c>
    </row>
    <row r="37" spans="1:23" ht="20.149999999999999" customHeight="1" x14ac:dyDescent="0.3">
      <c r="A37" s="15">
        <v>31</v>
      </c>
      <c r="B37" s="32"/>
      <c r="C37" s="16" t="s">
        <v>50</v>
      </c>
      <c r="D37" s="17">
        <f t="shared" si="1"/>
        <v>28</v>
      </c>
      <c r="E37" s="18">
        <v>19</v>
      </c>
      <c r="F37" s="18">
        <v>9</v>
      </c>
      <c r="G37" s="18">
        <v>22</v>
      </c>
      <c r="H37" s="18">
        <v>6</v>
      </c>
      <c r="I37" s="18">
        <v>19</v>
      </c>
      <c r="J37" s="18">
        <v>8</v>
      </c>
      <c r="K37" s="18">
        <v>1</v>
      </c>
      <c r="L37" s="18">
        <v>6</v>
      </c>
      <c r="M37" s="18">
        <v>1</v>
      </c>
      <c r="N37" s="18">
        <f t="shared" si="5"/>
        <v>7</v>
      </c>
      <c r="O37" s="18">
        <v>13</v>
      </c>
      <c r="P37" s="18">
        <v>6</v>
      </c>
      <c r="Q37" s="18">
        <f t="shared" si="2"/>
        <v>19</v>
      </c>
      <c r="R37" s="18" t="s">
        <v>80</v>
      </c>
      <c r="S37" s="18">
        <v>2</v>
      </c>
      <c r="T37" s="18">
        <f t="shared" si="7"/>
        <v>2</v>
      </c>
      <c r="U37" s="19">
        <v>6</v>
      </c>
      <c r="W37" s="10">
        <f t="shared" si="6"/>
        <v>26</v>
      </c>
    </row>
    <row r="38" spans="1:23" ht="20.149999999999999" customHeight="1" x14ac:dyDescent="0.3">
      <c r="A38" s="15" t="s">
        <v>86</v>
      </c>
      <c r="B38" s="31" t="s">
        <v>87</v>
      </c>
      <c r="C38" s="16" t="s">
        <v>53</v>
      </c>
      <c r="D38" s="17">
        <f t="shared" si="1"/>
        <v>6</v>
      </c>
      <c r="E38" s="18" t="s">
        <v>80</v>
      </c>
      <c r="F38" s="18">
        <v>6</v>
      </c>
      <c r="G38" s="18">
        <v>5</v>
      </c>
      <c r="H38" s="18">
        <v>1</v>
      </c>
      <c r="I38" s="18" t="s">
        <v>80</v>
      </c>
      <c r="J38" s="18" t="s">
        <v>80</v>
      </c>
      <c r="K38" s="18">
        <v>6</v>
      </c>
      <c r="L38" s="18" t="s">
        <v>80</v>
      </c>
      <c r="M38" s="18" t="s">
        <v>80</v>
      </c>
      <c r="N38" s="18">
        <f t="shared" si="5"/>
        <v>0</v>
      </c>
      <c r="O38" s="18" t="s">
        <v>80</v>
      </c>
      <c r="P38" s="18">
        <v>1</v>
      </c>
      <c r="Q38" s="18">
        <f t="shared" si="2"/>
        <v>1</v>
      </c>
      <c r="R38" s="18" t="s">
        <v>80</v>
      </c>
      <c r="S38" s="18">
        <v>5</v>
      </c>
      <c r="T38" s="18">
        <f t="shared" si="7"/>
        <v>5</v>
      </c>
      <c r="U38" s="18" t="s">
        <v>80</v>
      </c>
      <c r="W38" s="10">
        <f t="shared" si="6"/>
        <v>1</v>
      </c>
    </row>
    <row r="39" spans="1:23" ht="20.149999999999999" customHeight="1" x14ac:dyDescent="0.3">
      <c r="A39" s="15" t="s">
        <v>86</v>
      </c>
      <c r="B39" s="33"/>
      <c r="C39" s="16" t="s">
        <v>88</v>
      </c>
      <c r="D39" s="17">
        <f t="shared" si="1"/>
        <v>1</v>
      </c>
      <c r="E39" s="18">
        <v>1</v>
      </c>
      <c r="F39" s="18" t="s">
        <v>80</v>
      </c>
      <c r="G39" s="18" t="s">
        <v>80</v>
      </c>
      <c r="H39" s="18">
        <v>1</v>
      </c>
      <c r="I39" s="18">
        <v>1</v>
      </c>
      <c r="J39" s="18" t="s">
        <v>80</v>
      </c>
      <c r="K39" s="18" t="s">
        <v>80</v>
      </c>
      <c r="L39" s="18" t="s">
        <v>80</v>
      </c>
      <c r="M39" s="18" t="s">
        <v>80</v>
      </c>
      <c r="N39" s="18">
        <v>0</v>
      </c>
      <c r="O39" s="18">
        <v>1</v>
      </c>
      <c r="P39" s="18" t="s">
        <v>80</v>
      </c>
      <c r="Q39" s="18">
        <f t="shared" si="2"/>
        <v>1</v>
      </c>
      <c r="R39" s="18" t="s">
        <v>80</v>
      </c>
      <c r="S39" s="18" t="s">
        <v>80</v>
      </c>
      <c r="T39" s="18">
        <f t="shared" si="7"/>
        <v>0</v>
      </c>
      <c r="U39" s="18" t="s">
        <v>80</v>
      </c>
    </row>
    <row r="40" spans="1:23" ht="20.149999999999999" customHeight="1" x14ac:dyDescent="0.3">
      <c r="A40" s="15" t="s">
        <v>86</v>
      </c>
      <c r="B40" s="32"/>
      <c r="C40" s="16" t="s">
        <v>54</v>
      </c>
      <c r="D40" s="17">
        <f t="shared" si="1"/>
        <v>1</v>
      </c>
      <c r="E40" s="18" t="s">
        <v>80</v>
      </c>
      <c r="F40" s="18">
        <v>1</v>
      </c>
      <c r="G40" s="18">
        <v>1</v>
      </c>
      <c r="H40" s="18" t="s">
        <v>80</v>
      </c>
      <c r="I40" s="18" t="s">
        <v>80</v>
      </c>
      <c r="J40" s="18">
        <v>1</v>
      </c>
      <c r="K40" s="18" t="s">
        <v>80</v>
      </c>
      <c r="L40" s="18" t="s">
        <v>80</v>
      </c>
      <c r="M40" s="18" t="s">
        <v>80</v>
      </c>
      <c r="N40" s="18">
        <v>0</v>
      </c>
      <c r="O40" s="18" t="s">
        <v>80</v>
      </c>
      <c r="P40" s="18">
        <v>1</v>
      </c>
      <c r="Q40" s="18">
        <f t="shared" si="2"/>
        <v>1</v>
      </c>
      <c r="R40" s="18" t="s">
        <v>80</v>
      </c>
      <c r="S40" s="18" t="s">
        <v>80</v>
      </c>
      <c r="T40" s="18">
        <f t="shared" si="7"/>
        <v>0</v>
      </c>
      <c r="U40" s="19">
        <v>1</v>
      </c>
    </row>
    <row r="41" spans="1:23" ht="14.25" customHeight="1" x14ac:dyDescent="0.3">
      <c r="D41" s="23"/>
    </row>
    <row r="42" spans="1:23" ht="14.25" customHeight="1" x14ac:dyDescent="0.3">
      <c r="C42" s="24" t="s">
        <v>11</v>
      </c>
      <c r="D42" s="25">
        <f>SUM(D5:D40)</f>
        <v>382</v>
      </c>
      <c r="E42" s="25">
        <f>SUM(E5:E40)</f>
        <v>155</v>
      </c>
      <c r="F42" s="25">
        <f>SUM(F5:F40)</f>
        <v>227</v>
      </c>
      <c r="G42" s="26">
        <f>SUM(G5:G40)</f>
        <v>250</v>
      </c>
      <c r="H42" s="26">
        <f>SUM(H5:H40)</f>
        <v>132</v>
      </c>
      <c r="I42" s="27">
        <f t="shared" ref="I42:U42" si="8">SUM(I5:I40)</f>
        <v>150</v>
      </c>
      <c r="J42" s="27">
        <f t="shared" si="8"/>
        <v>167</v>
      </c>
      <c r="K42" s="27">
        <f t="shared" si="8"/>
        <v>65</v>
      </c>
      <c r="L42" s="25">
        <f t="shared" si="8"/>
        <v>68</v>
      </c>
      <c r="M42" s="25">
        <f t="shared" si="8"/>
        <v>11</v>
      </c>
      <c r="N42" s="28">
        <f t="shared" si="8"/>
        <v>79</v>
      </c>
      <c r="O42" s="29">
        <f t="shared" si="8"/>
        <v>72</v>
      </c>
      <c r="P42" s="29">
        <f t="shared" si="8"/>
        <v>123</v>
      </c>
      <c r="Q42" s="28">
        <f t="shared" si="8"/>
        <v>195</v>
      </c>
      <c r="R42" s="29">
        <f t="shared" si="8"/>
        <v>15</v>
      </c>
      <c r="S42" s="29">
        <f t="shared" si="8"/>
        <v>93</v>
      </c>
      <c r="T42" s="28">
        <f t="shared" si="8"/>
        <v>108</v>
      </c>
      <c r="U42" s="25">
        <f t="shared" si="8"/>
        <v>162</v>
      </c>
    </row>
    <row r="43" spans="1:23" ht="14.25" customHeight="1" x14ac:dyDescent="0.3">
      <c r="D43" s="30"/>
    </row>
    <row r="44" spans="1:23" ht="14.25" customHeight="1" x14ac:dyDescent="0.3"/>
    <row r="45" spans="1:23" ht="14.25" customHeight="1" x14ac:dyDescent="0.3">
      <c r="C45" s="34" t="s">
        <v>89</v>
      </c>
      <c r="D45" s="34"/>
      <c r="E45" s="34"/>
      <c r="F45" s="34"/>
    </row>
    <row r="47" spans="1:23" ht="14.25" customHeight="1" x14ac:dyDescent="0.3"/>
    <row r="48" spans="1:2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</sheetData>
  <mergeCells count="33">
    <mergeCell ref="A1:U1"/>
    <mergeCell ref="A2:U2"/>
    <mergeCell ref="A3:A4"/>
    <mergeCell ref="B3:B4"/>
    <mergeCell ref="C3:C4"/>
    <mergeCell ref="D3:D4"/>
    <mergeCell ref="E3:E4"/>
    <mergeCell ref="F3:F4"/>
    <mergeCell ref="L3:N3"/>
    <mergeCell ref="O3:Q3"/>
    <mergeCell ref="E24:E25"/>
    <mergeCell ref="R3:T3"/>
    <mergeCell ref="G4:H4"/>
    <mergeCell ref="I4:K4"/>
    <mergeCell ref="B5:B7"/>
    <mergeCell ref="B8:B12"/>
    <mergeCell ref="B13:B19"/>
    <mergeCell ref="B20:B23"/>
    <mergeCell ref="A24:A25"/>
    <mergeCell ref="B24:B25"/>
    <mergeCell ref="C24:C25"/>
    <mergeCell ref="D24:D25"/>
    <mergeCell ref="F24:F25"/>
    <mergeCell ref="L24:N24"/>
    <mergeCell ref="O24:Q24"/>
    <mergeCell ref="R24:T24"/>
    <mergeCell ref="G25:H25"/>
    <mergeCell ref="I25:K25"/>
    <mergeCell ref="B26:B27"/>
    <mergeCell ref="B28:B34"/>
    <mergeCell ref="B35:B37"/>
    <mergeCell ref="B38:B40"/>
    <mergeCell ref="C45:F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26" sqref="M26"/>
    </sheetView>
  </sheetViews>
  <sheetFormatPr defaultRowHeight="14.5" x14ac:dyDescent="0.35"/>
  <cols>
    <col min="1" max="1" width="22" customWidth="1"/>
    <col min="2" max="2" width="37" bestFit="1" customWidth="1"/>
    <col min="3" max="3" width="11.81640625" customWidth="1"/>
    <col min="5" max="5" width="16.453125" bestFit="1" customWidth="1"/>
    <col min="6" max="6" width="13.7265625" bestFit="1" customWidth="1"/>
    <col min="9" max="9" width="14.453125" bestFit="1" customWidth="1"/>
    <col min="10" max="10" width="21.453125" customWidth="1"/>
    <col min="13" max="13" width="12.1796875" customWidth="1"/>
    <col min="14" max="14" width="16.26953125" customWidth="1"/>
    <col min="15" max="15" width="16.7265625" bestFit="1" customWidth="1"/>
    <col min="16" max="16" width="13.453125" bestFit="1" customWidth="1"/>
  </cols>
  <sheetData>
    <row r="1" spans="1:16" ht="30" customHeight="1" x14ac:dyDescent="0.35">
      <c r="A1" s="49" t="s">
        <v>57</v>
      </c>
      <c r="B1" s="49"/>
      <c r="C1" s="49"/>
      <c r="D1" s="49"/>
      <c r="E1" s="49"/>
      <c r="F1" s="49"/>
      <c r="G1" s="49"/>
      <c r="H1" s="49"/>
      <c r="I1" s="49"/>
    </row>
    <row r="2" spans="1:16" ht="26.25" customHeight="1" x14ac:dyDescent="0.35">
      <c r="A2" s="2" t="s">
        <v>6</v>
      </c>
      <c r="B2" s="2" t="s">
        <v>0</v>
      </c>
      <c r="C2" s="2" t="s">
        <v>11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12</v>
      </c>
      <c r="I2" s="2" t="s">
        <v>5</v>
      </c>
    </row>
    <row r="3" spans="1:16" ht="15" x14ac:dyDescent="0.35">
      <c r="A3" s="50" t="s">
        <v>7</v>
      </c>
      <c r="B3" s="1" t="s">
        <v>8</v>
      </c>
      <c r="C3" s="3">
        <v>4</v>
      </c>
      <c r="D3" s="3">
        <v>0</v>
      </c>
      <c r="E3" s="3">
        <v>3</v>
      </c>
      <c r="F3" s="3">
        <v>1</v>
      </c>
      <c r="G3" s="3">
        <v>1</v>
      </c>
      <c r="H3" s="3">
        <v>0</v>
      </c>
      <c r="I3" s="3">
        <v>3</v>
      </c>
    </row>
    <row r="4" spans="1:16" ht="15" x14ac:dyDescent="0.35">
      <c r="A4" s="50"/>
      <c r="B4" s="1" t="s">
        <v>9</v>
      </c>
      <c r="C4" s="4">
        <v>6</v>
      </c>
      <c r="D4" s="4">
        <v>0</v>
      </c>
      <c r="E4" s="4">
        <v>6</v>
      </c>
      <c r="F4" s="4">
        <v>0</v>
      </c>
      <c r="G4" s="4">
        <v>6</v>
      </c>
      <c r="H4" s="4">
        <v>1</v>
      </c>
      <c r="I4" s="4">
        <v>2</v>
      </c>
    </row>
    <row r="5" spans="1:16" ht="17.5" x14ac:dyDescent="0.35">
      <c r="A5" s="50"/>
      <c r="B5" s="1" t="s">
        <v>10</v>
      </c>
      <c r="C5" s="4">
        <v>12</v>
      </c>
      <c r="D5" s="4">
        <v>12</v>
      </c>
      <c r="E5" s="4">
        <v>0</v>
      </c>
      <c r="F5" s="4">
        <v>0</v>
      </c>
      <c r="G5" s="4">
        <v>12</v>
      </c>
      <c r="H5" s="4">
        <v>9</v>
      </c>
      <c r="I5" s="4">
        <v>2</v>
      </c>
      <c r="M5" s="51" t="s">
        <v>63</v>
      </c>
      <c r="N5" s="51"/>
      <c r="O5" s="51"/>
      <c r="P5" s="51"/>
    </row>
    <row r="6" spans="1:16" ht="17.5" x14ac:dyDescent="0.35">
      <c r="A6" s="50" t="s">
        <v>13</v>
      </c>
      <c r="B6" s="1" t="s">
        <v>14</v>
      </c>
      <c r="C6" s="4">
        <v>13</v>
      </c>
      <c r="D6" s="4">
        <v>13</v>
      </c>
      <c r="E6" s="4">
        <v>0</v>
      </c>
      <c r="F6" s="4">
        <v>0</v>
      </c>
      <c r="G6" s="4">
        <v>12</v>
      </c>
      <c r="H6" s="4">
        <v>6</v>
      </c>
      <c r="I6" s="4">
        <v>8</v>
      </c>
      <c r="M6" s="8"/>
      <c r="N6" s="9" t="s">
        <v>1</v>
      </c>
      <c r="O6" s="9" t="s">
        <v>2</v>
      </c>
      <c r="P6" s="9" t="s">
        <v>3</v>
      </c>
    </row>
    <row r="7" spans="1:16" ht="17.5" x14ac:dyDescent="0.35">
      <c r="A7" s="50"/>
      <c r="B7" s="1" t="s">
        <v>27</v>
      </c>
      <c r="C7" s="4">
        <v>12</v>
      </c>
      <c r="D7" s="4">
        <v>0</v>
      </c>
      <c r="E7" s="4">
        <v>11</v>
      </c>
      <c r="F7" s="4">
        <v>1</v>
      </c>
      <c r="G7" s="4">
        <v>8</v>
      </c>
      <c r="H7" s="4">
        <v>2</v>
      </c>
      <c r="I7" s="4">
        <v>6</v>
      </c>
      <c r="M7" s="8" t="s">
        <v>60</v>
      </c>
      <c r="N7" s="8">
        <v>150</v>
      </c>
      <c r="O7" s="8">
        <v>11</v>
      </c>
      <c r="P7" s="8">
        <v>8</v>
      </c>
    </row>
    <row r="8" spans="1:16" ht="17.5" x14ac:dyDescent="0.35">
      <c r="A8" s="50"/>
      <c r="B8" s="1" t="s">
        <v>18</v>
      </c>
      <c r="C8" s="4">
        <v>2</v>
      </c>
      <c r="D8" s="4">
        <v>0</v>
      </c>
      <c r="E8" s="4">
        <v>1</v>
      </c>
      <c r="F8" s="4">
        <v>1</v>
      </c>
      <c r="G8" s="4">
        <v>0</v>
      </c>
      <c r="H8" s="4">
        <v>0</v>
      </c>
      <c r="I8" s="4">
        <v>1</v>
      </c>
      <c r="M8" s="8" t="s">
        <v>61</v>
      </c>
      <c r="N8" s="8">
        <v>0</v>
      </c>
      <c r="O8" s="8">
        <v>140</v>
      </c>
      <c r="P8" s="8">
        <v>48</v>
      </c>
    </row>
    <row r="9" spans="1:16" ht="17.5" x14ac:dyDescent="0.35">
      <c r="A9" s="50"/>
      <c r="B9" s="1" t="s">
        <v>15</v>
      </c>
      <c r="C9" s="4">
        <v>12</v>
      </c>
      <c r="D9" s="4">
        <v>0</v>
      </c>
      <c r="E9" s="4">
        <v>10</v>
      </c>
      <c r="F9" s="4">
        <v>2</v>
      </c>
      <c r="G9" s="4">
        <v>9</v>
      </c>
      <c r="H9" s="4">
        <v>4</v>
      </c>
      <c r="I9" s="4">
        <v>3</v>
      </c>
      <c r="M9" s="9" t="s">
        <v>11</v>
      </c>
      <c r="N9" s="8">
        <f>SUM(N7:N8)</f>
        <v>150</v>
      </c>
      <c r="O9" s="8">
        <f>SUM(O7:O8)</f>
        <v>151</v>
      </c>
      <c r="P9" s="8">
        <f>SUM(P7:P8)</f>
        <v>56</v>
      </c>
    </row>
    <row r="10" spans="1:16" ht="17.5" x14ac:dyDescent="0.35">
      <c r="A10" s="50"/>
      <c r="B10" s="1" t="s">
        <v>16</v>
      </c>
      <c r="C10" s="4">
        <v>3</v>
      </c>
      <c r="D10" s="4">
        <v>0</v>
      </c>
      <c r="E10" s="4">
        <v>2</v>
      </c>
      <c r="F10" s="4">
        <v>1</v>
      </c>
      <c r="G10" s="4">
        <v>1</v>
      </c>
      <c r="H10" s="4">
        <v>0</v>
      </c>
      <c r="I10" s="4">
        <v>2</v>
      </c>
      <c r="M10" s="52" t="s">
        <v>62</v>
      </c>
      <c r="N10" s="52"/>
      <c r="O10" s="52">
        <f>N9+O9+P9</f>
        <v>357</v>
      </c>
      <c r="P10" s="52"/>
    </row>
    <row r="11" spans="1:16" ht="15" x14ac:dyDescent="0.35">
      <c r="A11" s="50"/>
      <c r="B11" s="1" t="s">
        <v>17</v>
      </c>
      <c r="C11" s="4">
        <v>1</v>
      </c>
      <c r="D11" s="4">
        <v>0</v>
      </c>
      <c r="E11" s="4">
        <v>1</v>
      </c>
      <c r="F11" s="4">
        <v>0</v>
      </c>
      <c r="G11" s="4">
        <v>0</v>
      </c>
      <c r="H11" s="4">
        <v>0</v>
      </c>
      <c r="I11" s="4">
        <v>1</v>
      </c>
    </row>
    <row r="12" spans="1:16" ht="15" x14ac:dyDescent="0.35">
      <c r="A12" s="50" t="s">
        <v>19</v>
      </c>
      <c r="B12" s="1" t="s">
        <v>20</v>
      </c>
      <c r="C12" s="4">
        <v>5</v>
      </c>
      <c r="D12" s="4">
        <v>0</v>
      </c>
      <c r="E12" s="4">
        <v>2</v>
      </c>
      <c r="F12" s="4">
        <v>3</v>
      </c>
      <c r="G12" s="4">
        <v>2</v>
      </c>
      <c r="H12" s="4">
        <v>0</v>
      </c>
      <c r="I12" s="4">
        <v>0</v>
      </c>
    </row>
    <row r="13" spans="1:16" ht="15" x14ac:dyDescent="0.35">
      <c r="A13" s="50"/>
      <c r="B13" s="1" t="s">
        <v>21</v>
      </c>
      <c r="C13" s="4">
        <v>6</v>
      </c>
      <c r="D13" s="4">
        <v>0</v>
      </c>
      <c r="E13" s="4">
        <v>3</v>
      </c>
      <c r="F13" s="4">
        <v>3</v>
      </c>
      <c r="G13" s="4">
        <v>2</v>
      </c>
      <c r="H13" s="4">
        <v>0</v>
      </c>
      <c r="I13" s="4">
        <v>2</v>
      </c>
    </row>
    <row r="14" spans="1:16" ht="15" x14ac:dyDescent="0.35">
      <c r="A14" s="50"/>
      <c r="B14" s="1" t="s">
        <v>22</v>
      </c>
      <c r="C14" s="4">
        <v>12</v>
      </c>
      <c r="D14" s="4">
        <v>11</v>
      </c>
      <c r="E14" s="4">
        <v>1</v>
      </c>
      <c r="F14" s="4">
        <v>0</v>
      </c>
      <c r="G14" s="4">
        <v>12</v>
      </c>
      <c r="H14" s="4">
        <v>6</v>
      </c>
      <c r="I14" s="4">
        <v>8</v>
      </c>
    </row>
    <row r="15" spans="1:16" ht="15" x14ac:dyDescent="0.35">
      <c r="A15" s="50"/>
      <c r="B15" s="1" t="s">
        <v>28</v>
      </c>
      <c r="C15" s="4">
        <v>13</v>
      </c>
      <c r="D15" s="4">
        <v>0</v>
      </c>
      <c r="E15" s="4">
        <v>9</v>
      </c>
      <c r="F15" s="4">
        <v>4</v>
      </c>
      <c r="G15" s="4">
        <v>6</v>
      </c>
      <c r="H15" s="4">
        <v>0</v>
      </c>
      <c r="I15" s="4">
        <v>4</v>
      </c>
    </row>
    <row r="16" spans="1:16" ht="15" x14ac:dyDescent="0.35">
      <c r="A16" s="50"/>
      <c r="B16" s="1" t="s">
        <v>23</v>
      </c>
      <c r="C16" s="4">
        <v>5</v>
      </c>
      <c r="D16" s="4">
        <v>0</v>
      </c>
      <c r="E16" s="4">
        <v>5</v>
      </c>
      <c r="F16" s="4">
        <v>0</v>
      </c>
      <c r="G16" s="4">
        <v>5</v>
      </c>
      <c r="H16" s="4">
        <v>0</v>
      </c>
      <c r="I16" s="4">
        <v>2</v>
      </c>
    </row>
    <row r="17" spans="1:9" ht="15" x14ac:dyDescent="0.35">
      <c r="A17" s="50"/>
      <c r="B17" s="1" t="s">
        <v>24</v>
      </c>
      <c r="C17" s="4">
        <v>16</v>
      </c>
      <c r="D17" s="4">
        <v>0</v>
      </c>
      <c r="E17" s="4">
        <v>10</v>
      </c>
      <c r="F17" s="4">
        <v>6</v>
      </c>
      <c r="G17" s="4">
        <v>13</v>
      </c>
      <c r="H17" s="4">
        <v>0</v>
      </c>
      <c r="I17" s="4">
        <v>0</v>
      </c>
    </row>
    <row r="18" spans="1:9" ht="15" x14ac:dyDescent="0.35">
      <c r="A18" s="50"/>
      <c r="B18" s="1" t="s">
        <v>25</v>
      </c>
      <c r="C18" s="4">
        <v>16</v>
      </c>
      <c r="D18" s="4">
        <v>16</v>
      </c>
      <c r="E18" s="4">
        <v>0</v>
      </c>
      <c r="F18" s="4">
        <v>0</v>
      </c>
      <c r="G18" s="4">
        <v>15</v>
      </c>
      <c r="H18" s="4">
        <v>8</v>
      </c>
      <c r="I18" s="4">
        <v>10</v>
      </c>
    </row>
    <row r="19" spans="1:9" ht="15" x14ac:dyDescent="0.35">
      <c r="A19" s="50"/>
      <c r="B19" s="1" t="s">
        <v>29</v>
      </c>
      <c r="C19" s="4">
        <v>12</v>
      </c>
      <c r="D19" s="4">
        <v>0</v>
      </c>
      <c r="E19" s="4">
        <v>9</v>
      </c>
      <c r="F19" s="4">
        <v>3</v>
      </c>
      <c r="G19" s="4">
        <v>11</v>
      </c>
      <c r="H19" s="4">
        <v>0</v>
      </c>
      <c r="I19" s="4">
        <v>2</v>
      </c>
    </row>
    <row r="20" spans="1:9" ht="15" x14ac:dyDescent="0.35">
      <c r="A20" s="50"/>
      <c r="B20" s="1" t="s">
        <v>26</v>
      </c>
      <c r="C20" s="4">
        <v>5</v>
      </c>
      <c r="D20" s="4">
        <v>5</v>
      </c>
      <c r="E20" s="4">
        <v>0</v>
      </c>
      <c r="F20" s="4">
        <v>0</v>
      </c>
      <c r="G20" s="4">
        <v>5</v>
      </c>
      <c r="H20" s="4">
        <v>1</v>
      </c>
      <c r="I20" s="4">
        <v>0</v>
      </c>
    </row>
    <row r="21" spans="1:9" ht="15" x14ac:dyDescent="0.35">
      <c r="A21" s="50" t="s">
        <v>30</v>
      </c>
      <c r="B21" s="1" t="s">
        <v>31</v>
      </c>
      <c r="C21" s="4">
        <v>20</v>
      </c>
      <c r="D21" s="4">
        <v>20</v>
      </c>
      <c r="E21" s="4">
        <v>0</v>
      </c>
      <c r="F21" s="4">
        <v>0</v>
      </c>
      <c r="G21" s="4">
        <v>15</v>
      </c>
      <c r="H21" s="4">
        <v>9</v>
      </c>
      <c r="I21" s="4">
        <v>9</v>
      </c>
    </row>
    <row r="22" spans="1:9" ht="15" x14ac:dyDescent="0.35">
      <c r="A22" s="50"/>
      <c r="B22" s="1" t="s">
        <v>37</v>
      </c>
      <c r="C22" s="4">
        <v>20</v>
      </c>
      <c r="D22" s="4">
        <v>0</v>
      </c>
      <c r="E22" s="4">
        <v>16</v>
      </c>
      <c r="F22" s="4">
        <v>4</v>
      </c>
      <c r="G22" s="4">
        <v>8</v>
      </c>
      <c r="H22" s="4">
        <v>0</v>
      </c>
      <c r="I22" s="4">
        <v>13</v>
      </c>
    </row>
    <row r="23" spans="1:9" ht="15" x14ac:dyDescent="0.35">
      <c r="A23" s="50"/>
      <c r="B23" s="1" t="s">
        <v>32</v>
      </c>
      <c r="C23" s="4">
        <v>1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  <c r="I23" s="4">
        <v>1</v>
      </c>
    </row>
    <row r="24" spans="1:9" ht="15" x14ac:dyDescent="0.35">
      <c r="A24" s="50"/>
      <c r="B24" s="1" t="s">
        <v>33</v>
      </c>
      <c r="C24" s="4">
        <v>1</v>
      </c>
      <c r="D24" s="4">
        <v>1</v>
      </c>
      <c r="E24" s="4">
        <v>0</v>
      </c>
      <c r="F24" s="4">
        <v>0</v>
      </c>
      <c r="G24" s="4">
        <v>1</v>
      </c>
      <c r="H24" s="4">
        <v>0</v>
      </c>
      <c r="I24" s="4">
        <v>1</v>
      </c>
    </row>
    <row r="25" spans="1:9" ht="15" x14ac:dyDescent="0.35">
      <c r="A25" s="50"/>
      <c r="B25" s="1" t="s">
        <v>34</v>
      </c>
      <c r="C25" s="4">
        <v>8</v>
      </c>
      <c r="D25" s="4">
        <v>5</v>
      </c>
      <c r="E25" s="4">
        <v>0</v>
      </c>
      <c r="F25" s="4">
        <v>3</v>
      </c>
      <c r="G25" s="4">
        <v>6</v>
      </c>
      <c r="H25" s="4">
        <v>1</v>
      </c>
      <c r="I25" s="4">
        <v>3</v>
      </c>
    </row>
    <row r="26" spans="1:9" ht="15" x14ac:dyDescent="0.35">
      <c r="A26" s="50"/>
      <c r="B26" s="1" t="s">
        <v>35</v>
      </c>
      <c r="C26" s="4">
        <v>1</v>
      </c>
      <c r="D26" s="4">
        <v>1</v>
      </c>
      <c r="E26" s="4">
        <v>0</v>
      </c>
      <c r="F26" s="4">
        <v>0</v>
      </c>
      <c r="G26" s="4">
        <v>1</v>
      </c>
      <c r="H26" s="4">
        <v>0</v>
      </c>
      <c r="I26" s="4">
        <v>0</v>
      </c>
    </row>
    <row r="27" spans="1:9" ht="15" x14ac:dyDescent="0.35">
      <c r="A27" s="50"/>
      <c r="B27" s="1" t="s">
        <v>36</v>
      </c>
      <c r="C27" s="4">
        <v>11</v>
      </c>
      <c r="D27" s="4">
        <v>11</v>
      </c>
      <c r="E27" s="4">
        <v>0</v>
      </c>
      <c r="F27" s="4">
        <v>0</v>
      </c>
      <c r="G27" s="4">
        <v>11</v>
      </c>
      <c r="H27" s="4">
        <v>7</v>
      </c>
      <c r="I27" s="4">
        <v>8</v>
      </c>
    </row>
    <row r="28" spans="1:9" ht="15" x14ac:dyDescent="0.35">
      <c r="A28" s="50"/>
      <c r="B28" s="1" t="s">
        <v>38</v>
      </c>
      <c r="C28" s="4">
        <v>14</v>
      </c>
      <c r="D28" s="4">
        <v>0</v>
      </c>
      <c r="E28" s="4">
        <v>11</v>
      </c>
      <c r="F28" s="4">
        <v>3</v>
      </c>
      <c r="G28" s="4">
        <v>10</v>
      </c>
      <c r="H28" s="4">
        <v>0</v>
      </c>
      <c r="I28" s="4">
        <v>9</v>
      </c>
    </row>
    <row r="29" spans="1:9" ht="15" x14ac:dyDescent="0.35">
      <c r="A29" s="50" t="s">
        <v>39</v>
      </c>
      <c r="B29" s="1" t="s">
        <v>40</v>
      </c>
      <c r="C29" s="4">
        <v>9</v>
      </c>
      <c r="D29" s="4">
        <v>0</v>
      </c>
      <c r="E29" s="4">
        <v>5</v>
      </c>
      <c r="F29" s="4">
        <v>4</v>
      </c>
      <c r="G29" s="4">
        <v>1</v>
      </c>
      <c r="H29" s="4">
        <v>0</v>
      </c>
      <c r="I29" s="4">
        <v>4</v>
      </c>
    </row>
    <row r="30" spans="1:9" ht="15" x14ac:dyDescent="0.35">
      <c r="A30" s="50"/>
      <c r="B30" s="1" t="s">
        <v>41</v>
      </c>
      <c r="C30" s="4">
        <v>15</v>
      </c>
      <c r="D30" s="4">
        <v>0</v>
      </c>
      <c r="E30" s="4">
        <v>15</v>
      </c>
      <c r="F30" s="4">
        <v>0</v>
      </c>
      <c r="G30" s="4">
        <v>12</v>
      </c>
      <c r="H30" s="4">
        <v>2</v>
      </c>
      <c r="I30" s="4">
        <v>5</v>
      </c>
    </row>
    <row r="31" spans="1:9" ht="15" x14ac:dyDescent="0.35">
      <c r="A31" s="50"/>
      <c r="B31" s="1" t="s">
        <v>42</v>
      </c>
      <c r="C31" s="4">
        <v>4</v>
      </c>
      <c r="D31" s="4">
        <v>0</v>
      </c>
      <c r="E31" s="4">
        <v>4</v>
      </c>
      <c r="F31" s="4">
        <v>0</v>
      </c>
      <c r="G31" s="4">
        <v>3</v>
      </c>
      <c r="H31" s="4">
        <v>0</v>
      </c>
      <c r="I31" s="4">
        <v>1</v>
      </c>
    </row>
    <row r="32" spans="1:9" ht="15" x14ac:dyDescent="0.35">
      <c r="A32" s="50"/>
      <c r="B32" s="1" t="s">
        <v>43</v>
      </c>
      <c r="C32" s="4">
        <v>10</v>
      </c>
      <c r="D32" s="4">
        <v>10</v>
      </c>
      <c r="E32" s="4">
        <v>0</v>
      </c>
      <c r="F32" s="4">
        <v>0</v>
      </c>
      <c r="G32" s="4">
        <v>8</v>
      </c>
      <c r="H32" s="4">
        <v>7</v>
      </c>
      <c r="I32" s="4">
        <v>5</v>
      </c>
    </row>
    <row r="33" spans="1:10" ht="15" x14ac:dyDescent="0.35">
      <c r="A33" s="50"/>
      <c r="B33" s="1" t="s">
        <v>44</v>
      </c>
      <c r="C33" s="4">
        <v>7</v>
      </c>
      <c r="D33" s="4">
        <v>5</v>
      </c>
      <c r="E33" s="4">
        <v>2</v>
      </c>
      <c r="F33" s="4">
        <v>0</v>
      </c>
      <c r="G33" s="4">
        <v>5</v>
      </c>
      <c r="H33" s="4">
        <v>4</v>
      </c>
      <c r="I33" s="4">
        <v>5</v>
      </c>
    </row>
    <row r="34" spans="1:10" ht="15" x14ac:dyDescent="0.35">
      <c r="A34" s="50"/>
      <c r="B34" s="1" t="s">
        <v>45</v>
      </c>
      <c r="C34" s="4">
        <v>3</v>
      </c>
      <c r="D34" s="4">
        <v>1</v>
      </c>
      <c r="E34" s="4">
        <v>2</v>
      </c>
      <c r="F34" s="4">
        <v>0</v>
      </c>
      <c r="G34" s="4">
        <v>2</v>
      </c>
      <c r="H34" s="4">
        <v>0</v>
      </c>
      <c r="I34" s="4">
        <v>2</v>
      </c>
    </row>
    <row r="35" spans="1:10" ht="15" x14ac:dyDescent="0.35">
      <c r="A35" s="50"/>
      <c r="B35" s="1" t="s">
        <v>46</v>
      </c>
      <c r="C35" s="4">
        <v>11</v>
      </c>
      <c r="D35" s="4">
        <v>0</v>
      </c>
      <c r="E35" s="4">
        <v>3</v>
      </c>
      <c r="F35" s="4">
        <v>8</v>
      </c>
      <c r="G35" s="4">
        <v>3</v>
      </c>
      <c r="H35" s="4">
        <v>0</v>
      </c>
      <c r="I35" s="4">
        <v>3</v>
      </c>
    </row>
    <row r="36" spans="1:10" ht="15" x14ac:dyDescent="0.35">
      <c r="A36" s="50" t="s">
        <v>47</v>
      </c>
      <c r="B36" s="1" t="s">
        <v>48</v>
      </c>
      <c r="C36" s="4">
        <v>22</v>
      </c>
      <c r="D36" s="4">
        <v>18</v>
      </c>
      <c r="E36" s="4">
        <v>3</v>
      </c>
      <c r="F36" s="4">
        <v>1</v>
      </c>
      <c r="G36" s="4">
        <v>19</v>
      </c>
      <c r="H36" s="4">
        <v>7</v>
      </c>
      <c r="I36" s="4">
        <v>9</v>
      </c>
    </row>
    <row r="37" spans="1:10" ht="15" x14ac:dyDescent="0.35">
      <c r="A37" s="50"/>
      <c r="B37" s="1" t="s">
        <v>49</v>
      </c>
      <c r="C37" s="4">
        <v>9</v>
      </c>
      <c r="D37" s="4">
        <v>0</v>
      </c>
      <c r="E37" s="4">
        <v>7</v>
      </c>
      <c r="F37" s="4">
        <v>2</v>
      </c>
      <c r="G37" s="4">
        <v>6</v>
      </c>
      <c r="H37" s="4">
        <v>0</v>
      </c>
      <c r="I37" s="4">
        <v>1</v>
      </c>
    </row>
    <row r="38" spans="1:10" ht="15" x14ac:dyDescent="0.35">
      <c r="A38" s="50"/>
      <c r="B38" s="1" t="s">
        <v>50</v>
      </c>
      <c r="C38" s="4">
        <v>19</v>
      </c>
      <c r="D38" s="4">
        <v>19</v>
      </c>
      <c r="E38" s="4">
        <v>0</v>
      </c>
      <c r="F38" s="4">
        <v>0</v>
      </c>
      <c r="G38" s="4">
        <v>17</v>
      </c>
      <c r="H38" s="4">
        <v>6</v>
      </c>
      <c r="I38" s="4">
        <v>3</v>
      </c>
    </row>
    <row r="39" spans="1:10" ht="15" x14ac:dyDescent="0.35">
      <c r="A39" s="3"/>
      <c r="B39" s="1" t="s">
        <v>55</v>
      </c>
      <c r="C39" s="4">
        <v>9</v>
      </c>
      <c r="D39" s="4">
        <v>0</v>
      </c>
      <c r="E39" s="4">
        <v>9</v>
      </c>
      <c r="F39" s="4">
        <v>0</v>
      </c>
      <c r="G39" s="4">
        <v>7</v>
      </c>
      <c r="H39" s="4">
        <v>2</v>
      </c>
      <c r="I39" s="4">
        <v>3</v>
      </c>
    </row>
    <row r="40" spans="1:10" ht="29.25" customHeight="1" x14ac:dyDescent="0.35">
      <c r="A40" s="53" t="s">
        <v>51</v>
      </c>
      <c r="B40" s="1" t="s">
        <v>52</v>
      </c>
      <c r="C40" s="4">
        <v>1</v>
      </c>
      <c r="D40" s="4">
        <v>1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</row>
    <row r="41" spans="1:10" ht="15" x14ac:dyDescent="0.35">
      <c r="A41" s="54"/>
      <c r="B41" s="1" t="s">
        <v>53</v>
      </c>
      <c r="C41" s="4">
        <v>6</v>
      </c>
      <c r="D41" s="4">
        <v>0</v>
      </c>
      <c r="E41" s="4">
        <v>0</v>
      </c>
      <c r="F41" s="4">
        <v>6</v>
      </c>
      <c r="G41" s="4">
        <v>0</v>
      </c>
      <c r="H41" s="4">
        <v>0</v>
      </c>
      <c r="I41" s="4">
        <v>0</v>
      </c>
      <c r="J41" s="7"/>
    </row>
    <row r="42" spans="1:10" ht="15" x14ac:dyDescent="0.35">
      <c r="A42" s="55"/>
      <c r="B42" s="1" t="s">
        <v>54</v>
      </c>
      <c r="C42" s="4">
        <v>1</v>
      </c>
      <c r="D42" s="4">
        <v>0</v>
      </c>
      <c r="E42" s="4">
        <v>1</v>
      </c>
      <c r="F42" s="4">
        <v>0</v>
      </c>
      <c r="G42" s="4">
        <v>1</v>
      </c>
      <c r="H42" s="4">
        <v>0</v>
      </c>
      <c r="I42" s="4">
        <v>1</v>
      </c>
    </row>
    <row r="43" spans="1:10" ht="26.25" customHeight="1" x14ac:dyDescent="0.35">
      <c r="B43" s="2" t="s">
        <v>56</v>
      </c>
      <c r="C43" s="2">
        <f t="shared" ref="C43:I43" si="0">SUM(C3:C42)</f>
        <v>357</v>
      </c>
      <c r="D43" s="2">
        <f t="shared" si="0"/>
        <v>150</v>
      </c>
      <c r="E43" s="2">
        <f t="shared" si="0"/>
        <v>151</v>
      </c>
      <c r="F43" s="2">
        <f t="shared" si="0"/>
        <v>56</v>
      </c>
      <c r="G43" s="2">
        <f t="shared" si="0"/>
        <v>257</v>
      </c>
      <c r="H43" s="2">
        <f t="shared" si="0"/>
        <v>82</v>
      </c>
      <c r="I43" s="2">
        <f t="shared" si="0"/>
        <v>142</v>
      </c>
    </row>
  </sheetData>
  <mergeCells count="11">
    <mergeCell ref="M5:P5"/>
    <mergeCell ref="M10:N10"/>
    <mergeCell ref="O10:P10"/>
    <mergeCell ref="A36:A38"/>
    <mergeCell ref="A40:A42"/>
    <mergeCell ref="A29:A35"/>
    <mergeCell ref="A1:I1"/>
    <mergeCell ref="A3:A5"/>
    <mergeCell ref="A6:A11"/>
    <mergeCell ref="A12:A20"/>
    <mergeCell ref="A21:A2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"/>
  <sheetViews>
    <sheetView workbookViewId="0">
      <pane xSplit="2" ySplit="2" topLeftCell="C33" activePane="bottomRight" state="frozen"/>
      <selection pane="topRight" activeCell="C1" sqref="C1"/>
      <selection pane="bottomLeft" activeCell="A3" sqref="A3"/>
      <selection pane="bottomRight" activeCell="M5" sqref="M5:P10"/>
    </sheetView>
  </sheetViews>
  <sheetFormatPr defaultRowHeight="14.5" x14ac:dyDescent="0.35"/>
  <cols>
    <col min="1" max="1" width="22" customWidth="1"/>
    <col min="2" max="2" width="37" bestFit="1" customWidth="1"/>
    <col min="3" max="3" width="11.81640625" customWidth="1"/>
    <col min="5" max="5" width="16.453125" bestFit="1" customWidth="1"/>
    <col min="6" max="6" width="13.7265625" bestFit="1" customWidth="1"/>
    <col min="9" max="9" width="14.453125" bestFit="1" customWidth="1"/>
    <col min="10" max="10" width="27" customWidth="1"/>
    <col min="13" max="13" width="13.26953125" customWidth="1"/>
    <col min="14" max="14" width="17" customWidth="1"/>
    <col min="15" max="15" width="16.7265625" bestFit="1" customWidth="1"/>
    <col min="16" max="16" width="20.7265625" customWidth="1"/>
  </cols>
  <sheetData>
    <row r="1" spans="1:16" ht="30" customHeight="1" x14ac:dyDescent="0.35">
      <c r="A1" s="49" t="s">
        <v>58</v>
      </c>
      <c r="B1" s="49"/>
      <c r="C1" s="49"/>
      <c r="D1" s="49"/>
      <c r="E1" s="49"/>
      <c r="F1" s="49"/>
      <c r="G1" s="49"/>
      <c r="H1" s="49"/>
      <c r="I1" s="49"/>
    </row>
    <row r="2" spans="1:16" ht="26.25" customHeight="1" x14ac:dyDescent="0.35">
      <c r="A2" s="2" t="s">
        <v>6</v>
      </c>
      <c r="B2" s="2" t="s">
        <v>0</v>
      </c>
      <c r="C2" s="2" t="s">
        <v>11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12</v>
      </c>
      <c r="I2" s="2" t="s">
        <v>5</v>
      </c>
    </row>
    <row r="3" spans="1:16" ht="15" x14ac:dyDescent="0.35">
      <c r="A3" s="50" t="s">
        <v>7</v>
      </c>
      <c r="B3" s="1" t="s">
        <v>8</v>
      </c>
      <c r="C3" s="4">
        <v>3</v>
      </c>
      <c r="D3" s="4">
        <v>0</v>
      </c>
      <c r="E3" s="4">
        <v>3</v>
      </c>
      <c r="F3" s="4">
        <v>0</v>
      </c>
      <c r="G3" s="4">
        <v>1</v>
      </c>
      <c r="H3" s="4">
        <v>0</v>
      </c>
      <c r="I3" s="4">
        <v>3</v>
      </c>
    </row>
    <row r="4" spans="1:16" ht="15" x14ac:dyDescent="0.35">
      <c r="A4" s="50"/>
      <c r="B4" s="1" t="s">
        <v>9</v>
      </c>
      <c r="C4" s="4">
        <v>4</v>
      </c>
      <c r="D4" s="4">
        <v>0</v>
      </c>
      <c r="E4" s="4">
        <v>4</v>
      </c>
      <c r="F4" s="4">
        <v>0</v>
      </c>
      <c r="G4" s="4">
        <v>4</v>
      </c>
      <c r="H4" s="4">
        <v>1</v>
      </c>
      <c r="I4" s="4">
        <v>0</v>
      </c>
    </row>
    <row r="5" spans="1:16" ht="17.5" x14ac:dyDescent="0.35">
      <c r="A5" s="50"/>
      <c r="B5" s="1" t="s">
        <v>10</v>
      </c>
      <c r="C5" s="4">
        <v>12</v>
      </c>
      <c r="D5" s="4">
        <v>12</v>
      </c>
      <c r="E5" s="4">
        <v>0</v>
      </c>
      <c r="F5" s="4">
        <v>0</v>
      </c>
      <c r="G5" s="4">
        <v>12</v>
      </c>
      <c r="H5" s="4">
        <v>9</v>
      </c>
      <c r="I5" s="4">
        <v>2</v>
      </c>
      <c r="M5" s="51" t="s">
        <v>64</v>
      </c>
      <c r="N5" s="51"/>
      <c r="O5" s="51"/>
      <c r="P5" s="51"/>
    </row>
    <row r="6" spans="1:16" ht="17.5" x14ac:dyDescent="0.35">
      <c r="A6" s="50" t="s">
        <v>13</v>
      </c>
      <c r="B6" s="1" t="s">
        <v>14</v>
      </c>
      <c r="C6" s="4">
        <v>13</v>
      </c>
      <c r="D6" s="4">
        <v>13</v>
      </c>
      <c r="E6" s="4">
        <v>0</v>
      </c>
      <c r="F6" s="4">
        <v>0</v>
      </c>
      <c r="G6" s="4">
        <v>12</v>
      </c>
      <c r="H6" s="4">
        <v>6</v>
      </c>
      <c r="I6" s="4">
        <v>8</v>
      </c>
      <c r="M6" s="8"/>
      <c r="N6" s="9" t="s">
        <v>1</v>
      </c>
      <c r="O6" s="9" t="s">
        <v>2</v>
      </c>
      <c r="P6" s="9" t="s">
        <v>3</v>
      </c>
    </row>
    <row r="7" spans="1:16" ht="17.5" x14ac:dyDescent="0.35">
      <c r="A7" s="50"/>
      <c r="B7" s="1" t="s">
        <v>27</v>
      </c>
      <c r="C7" s="4">
        <v>13</v>
      </c>
      <c r="D7" s="4">
        <v>0</v>
      </c>
      <c r="E7" s="4">
        <v>11</v>
      </c>
      <c r="F7" s="4">
        <v>2</v>
      </c>
      <c r="G7" s="4">
        <v>7</v>
      </c>
      <c r="H7" s="4">
        <v>2</v>
      </c>
      <c r="I7" s="4">
        <v>5</v>
      </c>
      <c r="M7" s="8" t="s">
        <v>60</v>
      </c>
      <c r="N7" s="8">
        <v>150</v>
      </c>
      <c r="O7" s="8">
        <v>9</v>
      </c>
      <c r="P7" s="8">
        <v>13</v>
      </c>
    </row>
    <row r="8" spans="1:16" ht="17.5" x14ac:dyDescent="0.35">
      <c r="A8" s="50"/>
      <c r="B8" s="6" t="s">
        <v>18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M8" s="8" t="s">
        <v>61</v>
      </c>
      <c r="N8" s="8">
        <v>0</v>
      </c>
      <c r="O8" s="8">
        <v>132</v>
      </c>
      <c r="P8" s="8">
        <v>33</v>
      </c>
    </row>
    <row r="9" spans="1:16" ht="17.5" x14ac:dyDescent="0.35">
      <c r="A9" s="50"/>
      <c r="B9" s="1" t="s">
        <v>15</v>
      </c>
      <c r="C9" s="4">
        <v>10</v>
      </c>
      <c r="D9" s="4">
        <v>0</v>
      </c>
      <c r="E9" s="4">
        <v>8</v>
      </c>
      <c r="F9" s="4">
        <v>2</v>
      </c>
      <c r="G9" s="4">
        <v>8</v>
      </c>
      <c r="H9" s="4">
        <v>4</v>
      </c>
      <c r="I9" s="4">
        <v>3</v>
      </c>
      <c r="M9" s="9" t="s">
        <v>11</v>
      </c>
      <c r="N9" s="8">
        <f>SUM(N7:N8)</f>
        <v>150</v>
      </c>
      <c r="O9" s="8">
        <f t="shared" ref="O9:P9" si="0">SUM(O7:O8)</f>
        <v>141</v>
      </c>
      <c r="P9" s="8">
        <f t="shared" si="0"/>
        <v>46</v>
      </c>
    </row>
    <row r="10" spans="1:16" ht="17.5" x14ac:dyDescent="0.35">
      <c r="A10" s="50"/>
      <c r="B10" s="1" t="s">
        <v>16</v>
      </c>
      <c r="C10" s="4">
        <v>3</v>
      </c>
      <c r="D10" s="4">
        <v>0</v>
      </c>
      <c r="E10" s="4">
        <v>3</v>
      </c>
      <c r="F10" s="4">
        <v>0</v>
      </c>
      <c r="G10" s="4">
        <v>0</v>
      </c>
      <c r="H10" s="4">
        <v>0</v>
      </c>
      <c r="I10" s="4">
        <v>3</v>
      </c>
      <c r="M10" s="52" t="s">
        <v>62</v>
      </c>
      <c r="N10" s="52"/>
      <c r="O10" s="52">
        <f>N9+O9+P9</f>
        <v>337</v>
      </c>
      <c r="P10" s="52"/>
    </row>
    <row r="11" spans="1:16" ht="15" x14ac:dyDescent="0.35">
      <c r="A11" s="50"/>
      <c r="B11" s="1" t="s">
        <v>17</v>
      </c>
      <c r="C11" s="4">
        <v>1</v>
      </c>
      <c r="D11" s="4">
        <v>0</v>
      </c>
      <c r="E11" s="4">
        <v>1</v>
      </c>
      <c r="F11" s="4">
        <v>0</v>
      </c>
      <c r="G11" s="4">
        <v>0</v>
      </c>
      <c r="H11" s="4">
        <v>0</v>
      </c>
      <c r="I11" s="4">
        <v>1</v>
      </c>
    </row>
    <row r="12" spans="1:16" ht="15" x14ac:dyDescent="0.35">
      <c r="A12" s="50" t="s">
        <v>19</v>
      </c>
      <c r="B12" s="1" t="s">
        <v>20</v>
      </c>
      <c r="C12" s="4">
        <v>2</v>
      </c>
      <c r="D12" s="4">
        <v>0</v>
      </c>
      <c r="E12" s="4">
        <v>1</v>
      </c>
      <c r="F12" s="4">
        <v>1</v>
      </c>
      <c r="G12" s="4">
        <v>1</v>
      </c>
      <c r="H12" s="4">
        <v>0</v>
      </c>
      <c r="I12" s="4">
        <v>0</v>
      </c>
    </row>
    <row r="13" spans="1:16" ht="15" x14ac:dyDescent="0.35">
      <c r="A13" s="50"/>
      <c r="B13" s="1" t="s">
        <v>21</v>
      </c>
      <c r="C13" s="4">
        <v>7</v>
      </c>
      <c r="D13" s="4">
        <v>0</v>
      </c>
      <c r="E13" s="4">
        <v>2</v>
      </c>
      <c r="F13" s="4">
        <v>5</v>
      </c>
      <c r="G13" s="4">
        <v>1</v>
      </c>
      <c r="H13" s="4">
        <v>0</v>
      </c>
      <c r="I13" s="4">
        <v>1</v>
      </c>
    </row>
    <row r="14" spans="1:16" ht="15" x14ac:dyDescent="0.35">
      <c r="A14" s="50"/>
      <c r="B14" s="1" t="s">
        <v>22</v>
      </c>
      <c r="C14" s="4">
        <v>11</v>
      </c>
      <c r="D14" s="4">
        <v>11</v>
      </c>
      <c r="E14" s="4">
        <v>0</v>
      </c>
      <c r="F14" s="4">
        <v>0</v>
      </c>
      <c r="G14" s="4">
        <v>11</v>
      </c>
      <c r="H14" s="4">
        <v>6</v>
      </c>
      <c r="I14" s="4">
        <v>6</v>
      </c>
    </row>
    <row r="15" spans="1:16" ht="15" x14ac:dyDescent="0.35">
      <c r="A15" s="50"/>
      <c r="B15" s="1" t="s">
        <v>28</v>
      </c>
      <c r="C15" s="4">
        <v>15</v>
      </c>
      <c r="D15" s="4">
        <v>0</v>
      </c>
      <c r="E15" s="4">
        <v>10</v>
      </c>
      <c r="F15" s="4">
        <v>5</v>
      </c>
      <c r="G15" s="4">
        <v>9</v>
      </c>
      <c r="H15" s="4">
        <v>0</v>
      </c>
      <c r="I15" s="4">
        <v>5</v>
      </c>
    </row>
    <row r="16" spans="1:16" ht="15" x14ac:dyDescent="0.35">
      <c r="A16" s="50"/>
      <c r="B16" s="1" t="s">
        <v>23</v>
      </c>
      <c r="C16" s="4">
        <v>5</v>
      </c>
      <c r="D16" s="4">
        <v>0</v>
      </c>
      <c r="E16" s="4">
        <v>5</v>
      </c>
      <c r="F16" s="4">
        <v>0</v>
      </c>
      <c r="G16" s="4">
        <v>5</v>
      </c>
      <c r="H16" s="4">
        <v>0</v>
      </c>
      <c r="I16" s="4">
        <v>2</v>
      </c>
    </row>
    <row r="17" spans="1:9" ht="15" x14ac:dyDescent="0.35">
      <c r="A17" s="50"/>
      <c r="B17" s="1" t="s">
        <v>24</v>
      </c>
      <c r="C17" s="4">
        <v>16</v>
      </c>
      <c r="D17" s="4">
        <v>0</v>
      </c>
      <c r="E17" s="4">
        <v>11</v>
      </c>
      <c r="F17" s="4">
        <v>5</v>
      </c>
      <c r="G17" s="4">
        <v>12</v>
      </c>
      <c r="H17" s="4">
        <v>0</v>
      </c>
      <c r="I17" s="4">
        <v>0</v>
      </c>
    </row>
    <row r="18" spans="1:9" ht="15" x14ac:dyDescent="0.35">
      <c r="A18" s="50"/>
      <c r="B18" s="1" t="s">
        <v>25</v>
      </c>
      <c r="C18" s="4">
        <v>16</v>
      </c>
      <c r="D18" s="4">
        <v>16</v>
      </c>
      <c r="E18" s="4">
        <v>0</v>
      </c>
      <c r="F18" s="4">
        <v>0</v>
      </c>
      <c r="G18" s="4">
        <v>15</v>
      </c>
      <c r="H18" s="4">
        <v>8</v>
      </c>
      <c r="I18" s="4">
        <v>10</v>
      </c>
    </row>
    <row r="19" spans="1:9" ht="15" x14ac:dyDescent="0.35">
      <c r="A19" s="50"/>
      <c r="B19" s="1" t="s">
        <v>29</v>
      </c>
      <c r="C19" s="4">
        <v>12</v>
      </c>
      <c r="D19" s="4">
        <v>0</v>
      </c>
      <c r="E19" s="4">
        <v>9</v>
      </c>
      <c r="F19" s="4">
        <v>3</v>
      </c>
      <c r="G19" s="4">
        <v>9</v>
      </c>
      <c r="H19" s="4">
        <v>0</v>
      </c>
      <c r="I19" s="4">
        <v>2</v>
      </c>
    </row>
    <row r="20" spans="1:9" ht="15" x14ac:dyDescent="0.35">
      <c r="A20" s="50"/>
      <c r="B20" s="1" t="s">
        <v>26</v>
      </c>
      <c r="C20" s="4">
        <v>5</v>
      </c>
      <c r="D20" s="4">
        <v>5</v>
      </c>
      <c r="E20" s="4">
        <v>0</v>
      </c>
      <c r="F20" s="4">
        <v>0</v>
      </c>
      <c r="G20" s="4">
        <v>5</v>
      </c>
      <c r="H20" s="4">
        <v>1</v>
      </c>
      <c r="I20" s="4">
        <v>0</v>
      </c>
    </row>
    <row r="21" spans="1:9" ht="15" x14ac:dyDescent="0.35">
      <c r="A21" s="50" t="s">
        <v>30</v>
      </c>
      <c r="B21" s="1" t="s">
        <v>31</v>
      </c>
      <c r="C21" s="4">
        <v>20</v>
      </c>
      <c r="D21" s="4">
        <v>20</v>
      </c>
      <c r="E21" s="4">
        <v>0</v>
      </c>
      <c r="F21" s="4">
        <v>0</v>
      </c>
      <c r="G21" s="4">
        <v>14</v>
      </c>
      <c r="H21" s="4">
        <v>9</v>
      </c>
      <c r="I21" s="4">
        <v>9</v>
      </c>
    </row>
    <row r="22" spans="1:9" ht="15" x14ac:dyDescent="0.35">
      <c r="A22" s="50"/>
      <c r="B22" s="1" t="s">
        <v>37</v>
      </c>
      <c r="C22" s="4">
        <v>18</v>
      </c>
      <c r="D22" s="4">
        <v>0</v>
      </c>
      <c r="E22" s="4">
        <v>13</v>
      </c>
      <c r="F22" s="4">
        <v>5</v>
      </c>
      <c r="G22" s="4">
        <v>5</v>
      </c>
      <c r="H22" s="4">
        <v>0</v>
      </c>
      <c r="I22" s="4">
        <v>10</v>
      </c>
    </row>
    <row r="23" spans="1:9" ht="15" x14ac:dyDescent="0.35">
      <c r="A23" s="50"/>
      <c r="B23" s="1" t="s">
        <v>32</v>
      </c>
      <c r="C23" s="4">
        <v>1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  <c r="I23" s="4">
        <v>1</v>
      </c>
    </row>
    <row r="24" spans="1:9" ht="15" x14ac:dyDescent="0.35">
      <c r="A24" s="50"/>
      <c r="B24" s="1" t="s">
        <v>33</v>
      </c>
      <c r="C24" s="4">
        <v>1</v>
      </c>
      <c r="D24" s="4">
        <v>1</v>
      </c>
      <c r="E24" s="4">
        <v>0</v>
      </c>
      <c r="F24" s="4">
        <v>0</v>
      </c>
      <c r="G24" s="4">
        <v>1</v>
      </c>
      <c r="H24" s="4">
        <v>0</v>
      </c>
      <c r="I24" s="4">
        <v>1</v>
      </c>
    </row>
    <row r="25" spans="1:9" ht="15" x14ac:dyDescent="0.35">
      <c r="A25" s="50"/>
      <c r="B25" s="1" t="s">
        <v>34</v>
      </c>
      <c r="C25" s="4">
        <v>6</v>
      </c>
      <c r="D25" s="4">
        <v>5</v>
      </c>
      <c r="E25" s="4">
        <v>0</v>
      </c>
      <c r="F25" s="4">
        <v>1</v>
      </c>
      <c r="G25" s="4">
        <v>5</v>
      </c>
      <c r="H25" s="4">
        <v>1</v>
      </c>
      <c r="I25" s="4">
        <v>3</v>
      </c>
    </row>
    <row r="26" spans="1:9" ht="15" x14ac:dyDescent="0.35">
      <c r="A26" s="50"/>
      <c r="B26" s="1" t="s">
        <v>35</v>
      </c>
      <c r="C26" s="4">
        <v>1</v>
      </c>
      <c r="D26" s="4">
        <v>1</v>
      </c>
      <c r="E26" s="4">
        <v>0</v>
      </c>
      <c r="F26" s="4">
        <v>0</v>
      </c>
      <c r="G26" s="4">
        <v>1</v>
      </c>
      <c r="H26" s="4">
        <v>0</v>
      </c>
      <c r="I26" s="4">
        <v>0</v>
      </c>
    </row>
    <row r="27" spans="1:9" ht="15" x14ac:dyDescent="0.35">
      <c r="A27" s="50"/>
      <c r="B27" s="1" t="s">
        <v>36</v>
      </c>
      <c r="C27" s="4">
        <v>11</v>
      </c>
      <c r="D27" s="4">
        <v>11</v>
      </c>
      <c r="E27" s="4">
        <v>0</v>
      </c>
      <c r="F27" s="4">
        <v>0</v>
      </c>
      <c r="G27" s="4">
        <v>11</v>
      </c>
      <c r="H27" s="4">
        <v>7</v>
      </c>
      <c r="I27" s="4">
        <v>8</v>
      </c>
    </row>
    <row r="28" spans="1:9" ht="15" x14ac:dyDescent="0.35">
      <c r="A28" s="50"/>
      <c r="B28" s="1" t="s">
        <v>38</v>
      </c>
      <c r="C28" s="4">
        <v>12</v>
      </c>
      <c r="D28" s="4">
        <v>0</v>
      </c>
      <c r="E28" s="4">
        <v>9</v>
      </c>
      <c r="F28" s="4">
        <v>3</v>
      </c>
      <c r="G28" s="4">
        <v>8</v>
      </c>
      <c r="H28" s="4">
        <v>0</v>
      </c>
      <c r="I28" s="4">
        <v>8</v>
      </c>
    </row>
    <row r="29" spans="1:9" ht="15" x14ac:dyDescent="0.35">
      <c r="A29" s="50" t="s">
        <v>39</v>
      </c>
      <c r="B29" s="1" t="s">
        <v>40</v>
      </c>
      <c r="C29" s="4">
        <v>8</v>
      </c>
      <c r="D29" s="4">
        <v>0</v>
      </c>
      <c r="E29" s="4">
        <v>8</v>
      </c>
      <c r="F29" s="4">
        <v>0</v>
      </c>
      <c r="G29" s="4">
        <v>3</v>
      </c>
      <c r="H29" s="4">
        <v>1</v>
      </c>
      <c r="I29" s="4">
        <v>6</v>
      </c>
    </row>
    <row r="30" spans="1:9" ht="15" x14ac:dyDescent="0.35">
      <c r="A30" s="50"/>
      <c r="B30" s="1" t="s">
        <v>41</v>
      </c>
      <c r="C30" s="4">
        <v>17</v>
      </c>
      <c r="D30" s="4">
        <v>0</v>
      </c>
      <c r="E30" s="4">
        <v>17</v>
      </c>
      <c r="F30" s="4">
        <v>0</v>
      </c>
      <c r="G30" s="4">
        <v>14</v>
      </c>
      <c r="H30" s="4">
        <v>2</v>
      </c>
      <c r="I30" s="4">
        <v>5</v>
      </c>
    </row>
    <row r="31" spans="1:9" ht="15" x14ac:dyDescent="0.35">
      <c r="A31" s="50"/>
      <c r="B31" s="1" t="s">
        <v>42</v>
      </c>
      <c r="C31" s="4">
        <v>3</v>
      </c>
      <c r="D31" s="4">
        <v>0</v>
      </c>
      <c r="E31" s="4">
        <v>3</v>
      </c>
      <c r="F31" s="4">
        <v>0</v>
      </c>
      <c r="G31" s="4">
        <v>2</v>
      </c>
      <c r="H31" s="4">
        <v>0</v>
      </c>
      <c r="I31" s="4">
        <v>1</v>
      </c>
    </row>
    <row r="32" spans="1:9" ht="15" x14ac:dyDescent="0.35">
      <c r="A32" s="50"/>
      <c r="B32" s="1" t="s">
        <v>43</v>
      </c>
      <c r="C32" s="4">
        <v>11</v>
      </c>
      <c r="D32" s="4">
        <v>10</v>
      </c>
      <c r="E32" s="4">
        <v>0</v>
      </c>
      <c r="F32" s="4">
        <v>1</v>
      </c>
      <c r="G32" s="4">
        <v>9</v>
      </c>
      <c r="H32" s="4">
        <v>6</v>
      </c>
      <c r="I32" s="4">
        <v>5</v>
      </c>
    </row>
    <row r="33" spans="1:9" ht="15" x14ac:dyDescent="0.35">
      <c r="A33" s="50"/>
      <c r="B33" s="1" t="s">
        <v>44</v>
      </c>
      <c r="C33" s="4">
        <v>5</v>
      </c>
      <c r="D33" s="4">
        <v>5</v>
      </c>
      <c r="E33" s="4">
        <v>0</v>
      </c>
      <c r="F33" s="4">
        <v>0</v>
      </c>
      <c r="G33" s="4">
        <v>4</v>
      </c>
      <c r="H33" s="4">
        <v>3</v>
      </c>
      <c r="I33" s="4">
        <v>4</v>
      </c>
    </row>
    <row r="34" spans="1:9" ht="15" x14ac:dyDescent="0.35">
      <c r="A34" s="50"/>
      <c r="B34" s="1" t="s">
        <v>45</v>
      </c>
      <c r="C34" s="4">
        <v>1</v>
      </c>
      <c r="D34" s="4">
        <v>1</v>
      </c>
      <c r="E34" s="4">
        <v>0</v>
      </c>
      <c r="F34" s="4">
        <v>0</v>
      </c>
      <c r="G34" s="4">
        <v>1</v>
      </c>
      <c r="H34" s="4">
        <v>0</v>
      </c>
      <c r="I34" s="4">
        <v>1</v>
      </c>
    </row>
    <row r="35" spans="1:9" ht="15" x14ac:dyDescent="0.35">
      <c r="A35" s="50"/>
      <c r="B35" s="1" t="s">
        <v>46</v>
      </c>
      <c r="C35" s="4">
        <v>8</v>
      </c>
      <c r="D35" s="4">
        <v>0</v>
      </c>
      <c r="E35" s="4">
        <v>3</v>
      </c>
      <c r="F35" s="4">
        <v>5</v>
      </c>
      <c r="G35" s="4">
        <v>2</v>
      </c>
      <c r="H35" s="4">
        <v>0</v>
      </c>
      <c r="I35" s="4">
        <v>2</v>
      </c>
    </row>
    <row r="36" spans="1:9" ht="15" x14ac:dyDescent="0.35">
      <c r="A36" s="50" t="s">
        <v>47</v>
      </c>
      <c r="B36" s="1" t="s">
        <v>48</v>
      </c>
      <c r="C36" s="4">
        <v>22</v>
      </c>
      <c r="D36" s="4">
        <v>18</v>
      </c>
      <c r="E36" s="4">
        <v>3</v>
      </c>
      <c r="F36" s="4">
        <v>1</v>
      </c>
      <c r="G36" s="4">
        <v>19</v>
      </c>
      <c r="H36" s="4">
        <v>9</v>
      </c>
      <c r="I36" s="4">
        <v>10</v>
      </c>
    </row>
    <row r="37" spans="1:9" ht="15" x14ac:dyDescent="0.35">
      <c r="A37" s="50"/>
      <c r="B37" s="1" t="s">
        <v>49</v>
      </c>
      <c r="C37" s="4">
        <v>8</v>
      </c>
      <c r="D37" s="4">
        <v>0</v>
      </c>
      <c r="E37" s="4">
        <v>6</v>
      </c>
      <c r="F37" s="4">
        <v>2</v>
      </c>
      <c r="G37" s="4">
        <v>6</v>
      </c>
      <c r="H37" s="4">
        <v>0</v>
      </c>
      <c r="I37" s="4">
        <v>1</v>
      </c>
    </row>
    <row r="38" spans="1:9" ht="15" x14ac:dyDescent="0.35">
      <c r="A38" s="50"/>
      <c r="B38" s="1" t="s">
        <v>50</v>
      </c>
      <c r="C38" s="4">
        <v>19</v>
      </c>
      <c r="D38" s="4">
        <v>19</v>
      </c>
      <c r="E38" s="4">
        <v>0</v>
      </c>
      <c r="F38" s="4">
        <v>0</v>
      </c>
      <c r="G38" s="4">
        <v>17</v>
      </c>
      <c r="H38" s="4">
        <v>7</v>
      </c>
      <c r="I38" s="4">
        <v>3</v>
      </c>
    </row>
    <row r="39" spans="1:9" ht="15" x14ac:dyDescent="0.35">
      <c r="A39" s="3"/>
      <c r="B39" s="1" t="s">
        <v>55</v>
      </c>
      <c r="C39" s="4">
        <v>10</v>
      </c>
      <c r="D39" s="4">
        <v>0</v>
      </c>
      <c r="E39" s="4">
        <v>10</v>
      </c>
      <c r="F39" s="4">
        <v>0</v>
      </c>
      <c r="G39" s="4">
        <v>8</v>
      </c>
      <c r="H39" s="4">
        <v>2</v>
      </c>
      <c r="I39" s="4">
        <v>3</v>
      </c>
    </row>
    <row r="40" spans="1:9" ht="29.25" customHeight="1" x14ac:dyDescent="0.35">
      <c r="A40" s="53" t="s">
        <v>51</v>
      </c>
      <c r="B40" s="1" t="s">
        <v>52</v>
      </c>
      <c r="C40" s="4">
        <v>1</v>
      </c>
      <c r="D40" s="4">
        <v>1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</row>
    <row r="41" spans="1:9" ht="15" x14ac:dyDescent="0.35">
      <c r="A41" s="54"/>
      <c r="B41" s="1" t="s">
        <v>53</v>
      </c>
      <c r="C41" s="4">
        <v>5</v>
      </c>
      <c r="D41" s="4">
        <v>0</v>
      </c>
      <c r="E41" s="4">
        <v>0</v>
      </c>
      <c r="F41" s="4">
        <v>5</v>
      </c>
      <c r="G41" s="4">
        <v>0</v>
      </c>
      <c r="H41" s="4">
        <v>0</v>
      </c>
      <c r="I41" s="4">
        <v>0</v>
      </c>
    </row>
    <row r="42" spans="1:9" ht="15" x14ac:dyDescent="0.35">
      <c r="A42" s="55"/>
      <c r="B42" s="1" t="s">
        <v>54</v>
      </c>
      <c r="C42" s="4">
        <v>1</v>
      </c>
      <c r="D42" s="4">
        <v>0</v>
      </c>
      <c r="E42" s="4">
        <v>1</v>
      </c>
      <c r="F42" s="4">
        <v>0</v>
      </c>
      <c r="G42" s="4">
        <v>1</v>
      </c>
      <c r="H42" s="4">
        <v>0</v>
      </c>
      <c r="I42" s="4">
        <v>1</v>
      </c>
    </row>
    <row r="43" spans="1:9" ht="26.25" customHeight="1" x14ac:dyDescent="0.35">
      <c r="B43" s="2" t="s">
        <v>56</v>
      </c>
      <c r="C43" s="2">
        <f t="shared" ref="C43:I43" si="1">SUM(C3:C42)</f>
        <v>337</v>
      </c>
      <c r="D43" s="2">
        <f t="shared" si="1"/>
        <v>150</v>
      </c>
      <c r="E43" s="2">
        <f t="shared" si="1"/>
        <v>141</v>
      </c>
      <c r="F43" s="2">
        <f t="shared" si="1"/>
        <v>46</v>
      </c>
      <c r="G43" s="2">
        <f t="shared" si="1"/>
        <v>244</v>
      </c>
      <c r="H43" s="2">
        <f t="shared" si="1"/>
        <v>84</v>
      </c>
      <c r="I43" s="2">
        <f t="shared" si="1"/>
        <v>133</v>
      </c>
    </row>
  </sheetData>
  <mergeCells count="11">
    <mergeCell ref="M5:P5"/>
    <mergeCell ref="M10:N10"/>
    <mergeCell ref="O10:P10"/>
    <mergeCell ref="A36:A38"/>
    <mergeCell ref="A40:A42"/>
    <mergeCell ref="A29:A35"/>
    <mergeCell ref="A1:I1"/>
    <mergeCell ref="A3:A5"/>
    <mergeCell ref="A6:A11"/>
    <mergeCell ref="A12:A20"/>
    <mergeCell ref="A21:A2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6" sqref="H6"/>
    </sheetView>
  </sheetViews>
  <sheetFormatPr defaultRowHeight="14.5" x14ac:dyDescent="0.35"/>
  <cols>
    <col min="1" max="1" width="22" customWidth="1"/>
    <col min="2" max="2" width="37" bestFit="1" customWidth="1"/>
    <col min="3" max="3" width="11.81640625" customWidth="1"/>
    <col min="5" max="5" width="16.453125" bestFit="1" customWidth="1"/>
    <col min="6" max="6" width="13.7265625" bestFit="1" customWidth="1"/>
    <col min="9" max="9" width="14.453125" bestFit="1" customWidth="1"/>
    <col min="14" max="14" width="15.453125" customWidth="1"/>
    <col min="15" max="15" width="19.26953125" customWidth="1"/>
    <col min="16" max="16" width="17.81640625" customWidth="1"/>
    <col min="17" max="17" width="16.1796875" customWidth="1"/>
  </cols>
  <sheetData>
    <row r="1" spans="1:17" ht="30" customHeight="1" x14ac:dyDescent="0.35">
      <c r="A1" s="49" t="s">
        <v>59</v>
      </c>
      <c r="B1" s="49"/>
      <c r="C1" s="49"/>
      <c r="D1" s="49"/>
      <c r="E1" s="49"/>
      <c r="F1" s="49"/>
      <c r="G1" s="49"/>
      <c r="H1" s="49"/>
      <c r="I1" s="49"/>
    </row>
    <row r="2" spans="1:17" ht="26.25" customHeight="1" x14ac:dyDescent="0.35">
      <c r="A2" s="2" t="s">
        <v>6</v>
      </c>
      <c r="B2" s="2" t="s">
        <v>0</v>
      </c>
      <c r="C2" s="2" t="s">
        <v>11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12</v>
      </c>
      <c r="I2" s="2" t="s">
        <v>5</v>
      </c>
    </row>
    <row r="3" spans="1:17" ht="15" x14ac:dyDescent="0.35">
      <c r="A3" s="50" t="s">
        <v>7</v>
      </c>
      <c r="B3" s="1" t="s">
        <v>8</v>
      </c>
      <c r="C3" s="4">
        <v>3</v>
      </c>
      <c r="D3" s="4">
        <v>0</v>
      </c>
      <c r="E3" s="4">
        <v>3</v>
      </c>
      <c r="F3" s="4">
        <v>0</v>
      </c>
      <c r="G3" s="4">
        <v>1</v>
      </c>
      <c r="H3" s="4">
        <v>0</v>
      </c>
      <c r="I3" s="4">
        <v>3</v>
      </c>
    </row>
    <row r="4" spans="1:17" ht="15" x14ac:dyDescent="0.35">
      <c r="A4" s="50"/>
      <c r="B4" s="1" t="s">
        <v>9</v>
      </c>
      <c r="C4" s="4">
        <v>4</v>
      </c>
      <c r="D4" s="4">
        <v>0</v>
      </c>
      <c r="E4" s="4">
        <v>4</v>
      </c>
      <c r="F4" s="4">
        <v>0</v>
      </c>
      <c r="G4" s="4">
        <v>4</v>
      </c>
      <c r="H4" s="4">
        <v>1</v>
      </c>
      <c r="I4" s="4">
        <v>0</v>
      </c>
    </row>
    <row r="5" spans="1:17" ht="17.5" x14ac:dyDescent="0.35">
      <c r="A5" s="50"/>
      <c r="B5" s="1" t="s">
        <v>10</v>
      </c>
      <c r="C5" s="4">
        <v>12</v>
      </c>
      <c r="D5" s="4">
        <v>12</v>
      </c>
      <c r="E5" s="4">
        <v>0</v>
      </c>
      <c r="F5" s="4">
        <v>0</v>
      </c>
      <c r="G5" s="4">
        <v>12</v>
      </c>
      <c r="H5" s="4">
        <v>9</v>
      </c>
      <c r="I5" s="4">
        <v>2</v>
      </c>
      <c r="N5" s="51" t="s">
        <v>65</v>
      </c>
      <c r="O5" s="51"/>
      <c r="P5" s="51"/>
      <c r="Q5" s="51"/>
    </row>
    <row r="6" spans="1:17" ht="17.5" x14ac:dyDescent="0.35">
      <c r="A6" s="50" t="s">
        <v>13</v>
      </c>
      <c r="B6" s="1" t="s">
        <v>14</v>
      </c>
      <c r="C6" s="4">
        <v>13</v>
      </c>
      <c r="D6" s="4">
        <v>13</v>
      </c>
      <c r="E6" s="4">
        <v>0</v>
      </c>
      <c r="F6" s="4">
        <v>0</v>
      </c>
      <c r="G6" s="4">
        <v>11</v>
      </c>
      <c r="H6" s="4">
        <v>5</v>
      </c>
      <c r="I6" s="4">
        <v>8</v>
      </c>
      <c r="N6" s="8"/>
      <c r="O6" s="9" t="s">
        <v>1</v>
      </c>
      <c r="P6" s="9" t="s">
        <v>2</v>
      </c>
      <c r="Q6" s="9" t="s">
        <v>3</v>
      </c>
    </row>
    <row r="7" spans="1:17" ht="17.5" x14ac:dyDescent="0.35">
      <c r="A7" s="50"/>
      <c r="B7" s="1" t="s">
        <v>27</v>
      </c>
      <c r="C7" s="4">
        <v>12</v>
      </c>
      <c r="D7" s="4">
        <v>0</v>
      </c>
      <c r="E7" s="4">
        <v>11</v>
      </c>
      <c r="F7" s="4">
        <v>1</v>
      </c>
      <c r="G7" s="4">
        <v>7</v>
      </c>
      <c r="H7" s="4">
        <v>2</v>
      </c>
      <c r="I7" s="4">
        <v>5</v>
      </c>
      <c r="N7" s="8" t="s">
        <v>60</v>
      </c>
      <c r="O7" s="8">
        <v>150</v>
      </c>
      <c r="P7" s="8">
        <v>9</v>
      </c>
      <c r="Q7" s="8">
        <v>2</v>
      </c>
    </row>
    <row r="8" spans="1:17" ht="17.5" x14ac:dyDescent="0.35">
      <c r="A8" s="50"/>
      <c r="B8" s="6" t="s">
        <v>18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N8" s="8" t="s">
        <v>61</v>
      </c>
      <c r="O8" s="8">
        <v>0</v>
      </c>
      <c r="P8" s="8">
        <v>123</v>
      </c>
      <c r="Q8" s="8">
        <v>40</v>
      </c>
    </row>
    <row r="9" spans="1:17" ht="17.5" x14ac:dyDescent="0.35">
      <c r="A9" s="50"/>
      <c r="B9" s="1" t="s">
        <v>15</v>
      </c>
      <c r="C9" s="4">
        <v>9</v>
      </c>
      <c r="D9" s="4">
        <v>0</v>
      </c>
      <c r="E9" s="4">
        <v>8</v>
      </c>
      <c r="F9" s="4">
        <v>1</v>
      </c>
      <c r="G9" s="4">
        <v>8</v>
      </c>
      <c r="H9" s="4">
        <v>4</v>
      </c>
      <c r="I9" s="4">
        <v>3</v>
      </c>
      <c r="N9" s="9" t="s">
        <v>11</v>
      </c>
      <c r="O9" s="8">
        <f>SUM(O7:O8)</f>
        <v>150</v>
      </c>
      <c r="P9" s="8">
        <f t="shared" ref="P9:Q9" si="0">SUM(P7:P8)</f>
        <v>132</v>
      </c>
      <c r="Q9" s="8">
        <f t="shared" si="0"/>
        <v>42</v>
      </c>
    </row>
    <row r="10" spans="1:17" ht="17.5" x14ac:dyDescent="0.35">
      <c r="A10" s="50"/>
      <c r="B10" s="1" t="s">
        <v>16</v>
      </c>
      <c r="C10" s="4">
        <v>3</v>
      </c>
      <c r="D10" s="4">
        <v>0</v>
      </c>
      <c r="E10" s="4">
        <v>3</v>
      </c>
      <c r="F10" s="4">
        <v>0</v>
      </c>
      <c r="G10" s="4">
        <v>0</v>
      </c>
      <c r="H10" s="4">
        <v>0</v>
      </c>
      <c r="I10" s="4">
        <v>3</v>
      </c>
      <c r="N10" s="52" t="s">
        <v>62</v>
      </c>
      <c r="O10" s="52"/>
      <c r="P10" s="52">
        <f>O9+P9+Q9</f>
        <v>324</v>
      </c>
      <c r="Q10" s="52"/>
    </row>
    <row r="11" spans="1:17" ht="15" x14ac:dyDescent="0.35">
      <c r="A11" s="50"/>
      <c r="B11" s="6" t="s">
        <v>17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</row>
    <row r="12" spans="1:17" ht="15" x14ac:dyDescent="0.35">
      <c r="A12" s="50" t="s">
        <v>19</v>
      </c>
      <c r="B12" s="6" t="s">
        <v>20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17" ht="15" x14ac:dyDescent="0.35">
      <c r="A13" s="50"/>
      <c r="B13" s="1" t="s">
        <v>21</v>
      </c>
      <c r="C13" s="4">
        <v>5</v>
      </c>
      <c r="D13" s="4">
        <v>0</v>
      </c>
      <c r="E13" s="4">
        <v>1</v>
      </c>
      <c r="F13" s="4">
        <v>4</v>
      </c>
      <c r="G13" s="4">
        <v>1</v>
      </c>
      <c r="H13" s="4">
        <v>0</v>
      </c>
      <c r="I13" s="4">
        <v>1</v>
      </c>
    </row>
    <row r="14" spans="1:17" ht="15" x14ac:dyDescent="0.35">
      <c r="A14" s="50"/>
      <c r="B14" s="1" t="s">
        <v>22</v>
      </c>
      <c r="C14" s="4">
        <v>11</v>
      </c>
      <c r="D14" s="4">
        <v>11</v>
      </c>
      <c r="E14" s="4">
        <v>0</v>
      </c>
      <c r="F14" s="4">
        <v>0</v>
      </c>
      <c r="G14" s="4">
        <v>9</v>
      </c>
      <c r="H14" s="4">
        <v>5</v>
      </c>
      <c r="I14" s="4">
        <v>4</v>
      </c>
    </row>
    <row r="15" spans="1:17" ht="15" x14ac:dyDescent="0.35">
      <c r="A15" s="50"/>
      <c r="B15" s="1" t="s">
        <v>28</v>
      </c>
      <c r="C15" s="4">
        <v>14</v>
      </c>
      <c r="D15" s="4">
        <v>0</v>
      </c>
      <c r="E15" s="4">
        <v>10</v>
      </c>
      <c r="F15" s="4">
        <v>4</v>
      </c>
      <c r="G15" s="4">
        <v>8</v>
      </c>
      <c r="H15" s="4">
        <v>0</v>
      </c>
      <c r="I15" s="4">
        <v>6</v>
      </c>
    </row>
    <row r="16" spans="1:17" ht="15" x14ac:dyDescent="0.35">
      <c r="A16" s="50"/>
      <c r="B16" s="1" t="s">
        <v>23</v>
      </c>
      <c r="C16" s="4">
        <v>4</v>
      </c>
      <c r="D16" s="4">
        <v>0</v>
      </c>
      <c r="E16" s="4">
        <v>4</v>
      </c>
      <c r="F16" s="4">
        <v>0</v>
      </c>
      <c r="G16" s="4">
        <v>4</v>
      </c>
      <c r="H16" s="4">
        <v>0</v>
      </c>
      <c r="I16" s="4">
        <v>2</v>
      </c>
    </row>
    <row r="17" spans="1:9" ht="15" x14ac:dyDescent="0.35">
      <c r="A17" s="50"/>
      <c r="B17" s="1" t="s">
        <v>24</v>
      </c>
      <c r="C17" s="4">
        <v>15</v>
      </c>
      <c r="D17" s="4">
        <v>0</v>
      </c>
      <c r="E17" s="4">
        <v>12</v>
      </c>
      <c r="F17" s="4">
        <v>3</v>
      </c>
      <c r="G17" s="4">
        <v>12</v>
      </c>
      <c r="H17" s="4">
        <v>2</v>
      </c>
      <c r="I17" s="4">
        <v>2</v>
      </c>
    </row>
    <row r="18" spans="1:9" ht="15" x14ac:dyDescent="0.35">
      <c r="A18" s="50"/>
      <c r="B18" s="1" t="s">
        <v>25</v>
      </c>
      <c r="C18" s="4">
        <v>16</v>
      </c>
      <c r="D18" s="4">
        <v>16</v>
      </c>
      <c r="E18" s="4">
        <v>0</v>
      </c>
      <c r="F18" s="4">
        <v>0</v>
      </c>
      <c r="G18" s="4">
        <v>15</v>
      </c>
      <c r="H18" s="4">
        <v>8</v>
      </c>
      <c r="I18" s="4">
        <v>10</v>
      </c>
    </row>
    <row r="19" spans="1:9" ht="15" x14ac:dyDescent="0.35">
      <c r="A19" s="50"/>
      <c r="B19" s="1" t="s">
        <v>29</v>
      </c>
      <c r="C19" s="4">
        <v>11</v>
      </c>
      <c r="D19" s="4">
        <v>0</v>
      </c>
      <c r="E19" s="4">
        <v>9</v>
      </c>
      <c r="F19" s="4">
        <v>2</v>
      </c>
      <c r="G19" s="4">
        <v>10</v>
      </c>
      <c r="H19" s="4">
        <v>0</v>
      </c>
      <c r="I19" s="4">
        <v>2</v>
      </c>
    </row>
    <row r="20" spans="1:9" ht="15" x14ac:dyDescent="0.35">
      <c r="A20" s="50"/>
      <c r="B20" s="1" t="s">
        <v>26</v>
      </c>
      <c r="C20" s="4">
        <v>5</v>
      </c>
      <c r="D20" s="4">
        <v>5</v>
      </c>
      <c r="E20" s="4">
        <v>0</v>
      </c>
      <c r="F20" s="4">
        <v>0</v>
      </c>
      <c r="G20" s="4">
        <v>5</v>
      </c>
      <c r="H20" s="4">
        <v>1</v>
      </c>
      <c r="I20" s="4">
        <v>0</v>
      </c>
    </row>
    <row r="21" spans="1:9" ht="15" x14ac:dyDescent="0.35">
      <c r="A21" s="50" t="s">
        <v>30</v>
      </c>
      <c r="B21" s="1" t="s">
        <v>31</v>
      </c>
      <c r="C21" s="4">
        <v>20</v>
      </c>
      <c r="D21" s="4">
        <v>20</v>
      </c>
      <c r="E21" s="4">
        <v>0</v>
      </c>
      <c r="F21" s="4">
        <v>0</v>
      </c>
      <c r="G21" s="4">
        <v>14</v>
      </c>
      <c r="H21" s="4">
        <v>9</v>
      </c>
      <c r="I21" s="4">
        <v>9</v>
      </c>
    </row>
    <row r="22" spans="1:9" ht="15" x14ac:dyDescent="0.35">
      <c r="A22" s="50"/>
      <c r="B22" s="1" t="s">
        <v>37</v>
      </c>
      <c r="C22" s="4">
        <v>19</v>
      </c>
      <c r="D22" s="4">
        <v>0</v>
      </c>
      <c r="E22" s="4">
        <v>15</v>
      </c>
      <c r="F22" s="4">
        <v>4</v>
      </c>
      <c r="G22" s="4">
        <v>7</v>
      </c>
      <c r="H22" s="4">
        <v>0</v>
      </c>
      <c r="I22" s="4">
        <v>11</v>
      </c>
    </row>
    <row r="23" spans="1:9" ht="15" x14ac:dyDescent="0.35">
      <c r="A23" s="50"/>
      <c r="B23" s="1" t="s">
        <v>32</v>
      </c>
      <c r="C23" s="4">
        <v>1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  <c r="I23" s="4">
        <v>1</v>
      </c>
    </row>
    <row r="24" spans="1:9" ht="15" x14ac:dyDescent="0.35">
      <c r="A24" s="50"/>
      <c r="B24" s="1" t="s">
        <v>33</v>
      </c>
      <c r="C24" s="4">
        <v>1</v>
      </c>
      <c r="D24" s="4">
        <v>1</v>
      </c>
      <c r="E24" s="4">
        <v>0</v>
      </c>
      <c r="F24" s="4">
        <v>0</v>
      </c>
      <c r="G24" s="4">
        <v>1</v>
      </c>
      <c r="H24" s="4">
        <v>0</v>
      </c>
      <c r="I24" s="4">
        <v>1</v>
      </c>
    </row>
    <row r="25" spans="1:9" ht="15" x14ac:dyDescent="0.35">
      <c r="A25" s="50"/>
      <c r="B25" s="1" t="s">
        <v>34</v>
      </c>
      <c r="C25" s="4">
        <v>6</v>
      </c>
      <c r="D25" s="4">
        <v>5</v>
      </c>
      <c r="E25" s="4">
        <v>0</v>
      </c>
      <c r="F25" s="4">
        <v>1</v>
      </c>
      <c r="G25" s="4">
        <v>5</v>
      </c>
      <c r="H25" s="4">
        <v>1</v>
      </c>
      <c r="I25" s="4">
        <v>3</v>
      </c>
    </row>
    <row r="26" spans="1:9" ht="15" x14ac:dyDescent="0.35">
      <c r="A26" s="50"/>
      <c r="B26" s="1" t="s">
        <v>35</v>
      </c>
      <c r="C26" s="4">
        <v>1</v>
      </c>
      <c r="D26" s="4">
        <v>1</v>
      </c>
      <c r="E26" s="4">
        <v>0</v>
      </c>
      <c r="F26" s="4">
        <v>0</v>
      </c>
      <c r="G26" s="4">
        <v>1</v>
      </c>
      <c r="H26" s="4">
        <v>0</v>
      </c>
      <c r="I26" s="4">
        <v>0</v>
      </c>
    </row>
    <row r="27" spans="1:9" ht="15" x14ac:dyDescent="0.35">
      <c r="A27" s="50"/>
      <c r="B27" s="1" t="s">
        <v>36</v>
      </c>
      <c r="C27" s="4">
        <v>11</v>
      </c>
      <c r="D27" s="4">
        <v>11</v>
      </c>
      <c r="E27" s="4">
        <v>0</v>
      </c>
      <c r="F27" s="4">
        <v>0</v>
      </c>
      <c r="G27" s="4">
        <v>11</v>
      </c>
      <c r="H27" s="4">
        <v>7</v>
      </c>
      <c r="I27" s="4">
        <v>8</v>
      </c>
    </row>
    <row r="28" spans="1:9" ht="15" x14ac:dyDescent="0.35">
      <c r="A28" s="50"/>
      <c r="B28" s="1" t="s">
        <v>38</v>
      </c>
      <c r="C28" s="4">
        <v>12</v>
      </c>
      <c r="D28" s="4">
        <v>0</v>
      </c>
      <c r="E28" s="4">
        <v>7</v>
      </c>
      <c r="F28" s="4">
        <v>5</v>
      </c>
      <c r="G28" s="4">
        <v>9</v>
      </c>
      <c r="H28" s="4">
        <v>0</v>
      </c>
      <c r="I28" s="4">
        <v>8</v>
      </c>
    </row>
    <row r="29" spans="1:9" ht="15" x14ac:dyDescent="0.35">
      <c r="A29" s="50" t="s">
        <v>39</v>
      </c>
      <c r="B29" s="1" t="s">
        <v>40</v>
      </c>
      <c r="C29" s="4">
        <v>8</v>
      </c>
      <c r="D29" s="4">
        <v>0</v>
      </c>
      <c r="E29" s="4">
        <v>8</v>
      </c>
      <c r="F29" s="4">
        <v>0</v>
      </c>
      <c r="G29" s="4">
        <v>2</v>
      </c>
      <c r="H29" s="4">
        <v>1</v>
      </c>
      <c r="I29" s="4">
        <v>7</v>
      </c>
    </row>
    <row r="30" spans="1:9" ht="15" x14ac:dyDescent="0.35">
      <c r="A30" s="50"/>
      <c r="B30" s="1" t="s">
        <v>41</v>
      </c>
      <c r="C30" s="4">
        <v>16</v>
      </c>
      <c r="D30" s="4">
        <v>0</v>
      </c>
      <c r="E30" s="4">
        <v>16</v>
      </c>
      <c r="F30" s="4">
        <v>0</v>
      </c>
      <c r="G30" s="4">
        <v>13</v>
      </c>
      <c r="H30" s="4">
        <v>1</v>
      </c>
      <c r="I30" s="4">
        <v>3</v>
      </c>
    </row>
    <row r="31" spans="1:9" ht="15" x14ac:dyDescent="0.35">
      <c r="A31" s="50"/>
      <c r="B31" s="1" t="s">
        <v>42</v>
      </c>
      <c r="C31" s="4">
        <v>3</v>
      </c>
      <c r="D31" s="4">
        <v>0</v>
      </c>
      <c r="E31" s="4">
        <v>2</v>
      </c>
      <c r="F31" s="4">
        <v>1</v>
      </c>
      <c r="G31" s="4">
        <v>3</v>
      </c>
      <c r="H31" s="4">
        <v>0</v>
      </c>
      <c r="I31" s="4">
        <v>0</v>
      </c>
    </row>
    <row r="32" spans="1:9" ht="15" x14ac:dyDescent="0.35">
      <c r="A32" s="50"/>
      <c r="B32" s="1" t="s">
        <v>43</v>
      </c>
      <c r="C32" s="4">
        <v>10</v>
      </c>
      <c r="D32" s="4">
        <v>10</v>
      </c>
      <c r="E32" s="4">
        <v>0</v>
      </c>
      <c r="F32" s="4">
        <v>0</v>
      </c>
      <c r="G32" s="4">
        <v>8</v>
      </c>
      <c r="H32" s="4">
        <v>6</v>
      </c>
      <c r="I32" s="4">
        <v>5</v>
      </c>
    </row>
    <row r="33" spans="1:9" ht="15" x14ac:dyDescent="0.35">
      <c r="A33" s="50"/>
      <c r="B33" s="1" t="s">
        <v>44</v>
      </c>
      <c r="C33" s="4">
        <v>5</v>
      </c>
      <c r="D33" s="4">
        <v>5</v>
      </c>
      <c r="E33" s="4">
        <v>0</v>
      </c>
      <c r="F33" s="4">
        <v>0</v>
      </c>
      <c r="G33" s="4">
        <v>4</v>
      </c>
      <c r="H33" s="4">
        <v>2</v>
      </c>
      <c r="I33" s="4">
        <v>4</v>
      </c>
    </row>
    <row r="34" spans="1:9" ht="15" x14ac:dyDescent="0.35">
      <c r="A34" s="50"/>
      <c r="B34" s="1" t="s">
        <v>45</v>
      </c>
      <c r="C34" s="4">
        <v>1</v>
      </c>
      <c r="D34" s="4">
        <v>1</v>
      </c>
      <c r="E34" s="4">
        <v>0</v>
      </c>
      <c r="F34" s="4">
        <v>0</v>
      </c>
      <c r="G34" s="4">
        <v>1</v>
      </c>
      <c r="H34" s="4">
        <v>0</v>
      </c>
      <c r="I34" s="4">
        <v>1</v>
      </c>
    </row>
    <row r="35" spans="1:9" ht="15" x14ac:dyDescent="0.35">
      <c r="A35" s="50"/>
      <c r="B35" s="1" t="s">
        <v>46</v>
      </c>
      <c r="C35" s="4">
        <v>8</v>
      </c>
      <c r="D35" s="4">
        <v>0</v>
      </c>
      <c r="E35" s="4">
        <v>2</v>
      </c>
      <c r="F35" s="4">
        <v>6</v>
      </c>
      <c r="G35" s="4">
        <v>2</v>
      </c>
      <c r="H35" s="4">
        <v>0</v>
      </c>
      <c r="I35" s="4">
        <v>2</v>
      </c>
    </row>
    <row r="36" spans="1:9" ht="15" x14ac:dyDescent="0.35">
      <c r="A36" s="50" t="s">
        <v>47</v>
      </c>
      <c r="B36" s="1" t="s">
        <v>48</v>
      </c>
      <c r="C36" s="4">
        <v>22</v>
      </c>
      <c r="D36" s="4">
        <v>18</v>
      </c>
      <c r="E36" s="4">
        <v>2</v>
      </c>
      <c r="F36" s="4">
        <v>2</v>
      </c>
      <c r="G36" s="4">
        <v>19</v>
      </c>
      <c r="H36" s="4">
        <v>9</v>
      </c>
      <c r="I36" s="4">
        <v>10</v>
      </c>
    </row>
    <row r="37" spans="1:9" ht="15" x14ac:dyDescent="0.35">
      <c r="A37" s="50"/>
      <c r="B37" s="1" t="s">
        <v>49</v>
      </c>
      <c r="C37" s="4">
        <v>8</v>
      </c>
      <c r="D37" s="4">
        <v>0</v>
      </c>
      <c r="E37" s="4">
        <v>4</v>
      </c>
      <c r="F37" s="4">
        <v>4</v>
      </c>
      <c r="G37" s="4">
        <v>3</v>
      </c>
      <c r="H37" s="4">
        <v>0</v>
      </c>
      <c r="I37" s="4">
        <v>1</v>
      </c>
    </row>
    <row r="38" spans="1:9" ht="15" x14ac:dyDescent="0.35">
      <c r="A38" s="50"/>
      <c r="B38" s="1" t="s">
        <v>50</v>
      </c>
      <c r="C38" s="4">
        <v>19</v>
      </c>
      <c r="D38" s="4">
        <v>19</v>
      </c>
      <c r="E38" s="4">
        <v>0</v>
      </c>
      <c r="F38" s="4">
        <v>0</v>
      </c>
      <c r="G38" s="4">
        <v>17</v>
      </c>
      <c r="H38" s="4">
        <v>7</v>
      </c>
      <c r="I38" s="4">
        <v>3</v>
      </c>
    </row>
    <row r="39" spans="1:9" ht="15" x14ac:dyDescent="0.35">
      <c r="A39" s="3"/>
      <c r="B39" s="1" t="s">
        <v>55</v>
      </c>
      <c r="C39" s="4">
        <v>10</v>
      </c>
      <c r="D39" s="4">
        <v>0</v>
      </c>
      <c r="E39" s="4">
        <v>10</v>
      </c>
      <c r="F39" s="4">
        <v>0</v>
      </c>
      <c r="G39" s="4">
        <v>8</v>
      </c>
      <c r="H39" s="4">
        <v>2</v>
      </c>
      <c r="I39" s="4">
        <v>3</v>
      </c>
    </row>
    <row r="40" spans="1:9" ht="29.25" customHeight="1" x14ac:dyDescent="0.35">
      <c r="A40" s="53" t="s">
        <v>51</v>
      </c>
      <c r="B40" s="1" t="s">
        <v>52</v>
      </c>
      <c r="C40" s="4">
        <v>1</v>
      </c>
      <c r="D40" s="4">
        <v>1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</row>
    <row r="41" spans="1:9" ht="15" x14ac:dyDescent="0.35">
      <c r="A41" s="54"/>
      <c r="B41" s="1" t="s">
        <v>53</v>
      </c>
      <c r="C41" s="4">
        <v>4</v>
      </c>
      <c r="D41" s="4">
        <v>0</v>
      </c>
      <c r="E41" s="4">
        <v>0</v>
      </c>
      <c r="F41" s="4">
        <v>4</v>
      </c>
      <c r="G41" s="4">
        <v>0</v>
      </c>
      <c r="H41" s="4">
        <v>0</v>
      </c>
      <c r="I41" s="4">
        <v>0</v>
      </c>
    </row>
    <row r="42" spans="1:9" ht="15" x14ac:dyDescent="0.35">
      <c r="A42" s="55"/>
      <c r="B42" s="1" t="s">
        <v>54</v>
      </c>
      <c r="C42" s="4">
        <v>1</v>
      </c>
      <c r="D42" s="4">
        <v>0</v>
      </c>
      <c r="E42" s="4">
        <v>1</v>
      </c>
      <c r="F42" s="4">
        <v>0</v>
      </c>
      <c r="G42" s="4">
        <v>1</v>
      </c>
      <c r="H42" s="4">
        <v>0</v>
      </c>
      <c r="I42" s="4">
        <v>1</v>
      </c>
    </row>
    <row r="43" spans="1:9" ht="26.25" customHeight="1" x14ac:dyDescent="0.35">
      <c r="B43" s="2" t="s">
        <v>56</v>
      </c>
      <c r="C43" s="2">
        <f t="shared" ref="C43:I43" si="1">SUM(C3:C42)</f>
        <v>324</v>
      </c>
      <c r="D43" s="2">
        <f t="shared" si="1"/>
        <v>150</v>
      </c>
      <c r="E43" s="2">
        <f t="shared" si="1"/>
        <v>132</v>
      </c>
      <c r="F43" s="2">
        <f t="shared" si="1"/>
        <v>42</v>
      </c>
      <c r="G43" s="2">
        <f t="shared" si="1"/>
        <v>237</v>
      </c>
      <c r="H43" s="2">
        <f t="shared" si="1"/>
        <v>82</v>
      </c>
      <c r="I43" s="2">
        <f t="shared" si="1"/>
        <v>132</v>
      </c>
    </row>
  </sheetData>
  <mergeCells count="11">
    <mergeCell ref="N5:Q5"/>
    <mergeCell ref="N10:O10"/>
    <mergeCell ref="P10:Q10"/>
    <mergeCell ref="A36:A38"/>
    <mergeCell ref="A40:A42"/>
    <mergeCell ref="A29:A35"/>
    <mergeCell ref="A1:I1"/>
    <mergeCell ref="A3:A5"/>
    <mergeCell ref="A6:A11"/>
    <mergeCell ref="A12:A20"/>
    <mergeCell ref="A21:A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Faculty-2026-27</vt:lpstr>
      <vt:lpstr>Faculty-2025-26</vt:lpstr>
      <vt:lpstr>Faculty-2024-25</vt:lpstr>
      <vt:lpstr>Faculty-2023-24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2026-06-20T08:50:15Z</dcterms:created>
  <dcterms:modified xsi:type="dcterms:W3CDTF">2026-10-06T10:41:13Z</dcterms:modified>
</cp:coreProperties>
</file>