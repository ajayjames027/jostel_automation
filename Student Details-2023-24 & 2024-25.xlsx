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DMIN\Desktop\NAAC_3 years_Final\0_Basic_Questions\"/>
    </mc:Choice>
  </mc:AlternateContent>
  <xr:revisionPtr revIDLastSave="0" documentId="13_ncr:1_{CCDC8AE0-EC96-410D-BDC2-19548F16F15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2023-24" sheetId="2" r:id="rId1"/>
    <sheet name="2024-25" sheetId="3" r:id="rId2"/>
  </sheets>
  <definedNames>
    <definedName name="_xlnm._FilterDatabase" localSheetId="1" hidden="1">'2024-25'!$A$2:$G$128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29" i="2" l="1"/>
  <c r="E128" i="2"/>
  <c r="D130" i="2"/>
  <c r="D129" i="2"/>
  <c r="D128" i="2"/>
  <c r="D132" i="3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3" i="2"/>
  <c r="G11" i="3"/>
  <c r="E132" i="3"/>
  <c r="D134" i="3"/>
  <c r="G4" i="3"/>
  <c r="G5" i="3"/>
  <c r="G6" i="3"/>
  <c r="G7" i="3"/>
  <c r="G8" i="3"/>
  <c r="G9" i="3"/>
  <c r="G10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3" i="3"/>
  <c r="E133" i="3" s="1"/>
  <c r="E128" i="3"/>
  <c r="D128" i="3"/>
  <c r="F128" i="3" s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3" i="3"/>
  <c r="D133" i="3" l="1"/>
  <c r="F116" i="2"/>
  <c r="F115" i="2"/>
  <c r="F114" i="2"/>
  <c r="F103" i="2"/>
  <c r="F102" i="2"/>
  <c r="F101" i="2"/>
  <c r="F92" i="2"/>
  <c r="F86" i="2"/>
  <c r="F85" i="2"/>
  <c r="F84" i="2"/>
  <c r="F79" i="2"/>
  <c r="F78" i="2"/>
  <c r="F71" i="2"/>
  <c r="F70" i="2"/>
  <c r="F61" i="2"/>
  <c r="F60" i="2"/>
  <c r="F59" i="2"/>
  <c r="F50" i="2"/>
  <c r="F49" i="2"/>
  <c r="F48" i="2"/>
  <c r="F35" i="2"/>
  <c r="F34" i="2"/>
  <c r="F33" i="2"/>
  <c r="F16" i="2"/>
  <c r="F15" i="2"/>
  <c r="F14" i="2"/>
  <c r="F8" i="2"/>
  <c r="F5" i="2"/>
  <c r="F117" i="2" l="1"/>
  <c r="F118" i="2"/>
  <c r="F119" i="2"/>
  <c r="F120" i="2"/>
  <c r="F109" i="2"/>
  <c r="F110" i="2"/>
  <c r="F111" i="2"/>
  <c r="F112" i="2"/>
  <c r="F113" i="2"/>
  <c r="F104" i="2"/>
  <c r="F105" i="2"/>
  <c r="F106" i="2"/>
  <c r="F107" i="2"/>
  <c r="F108" i="2"/>
  <c r="F98" i="2"/>
  <c r="F99" i="2"/>
  <c r="F95" i="2"/>
  <c r="F93" i="2"/>
  <c r="F87" i="2"/>
  <c r="F88" i="2"/>
  <c r="F89" i="2"/>
  <c r="F90" i="2"/>
  <c r="F82" i="2"/>
  <c r="F80" i="2"/>
  <c r="F75" i="2"/>
  <c r="F76" i="2"/>
  <c r="F77" i="2"/>
  <c r="F74" i="2"/>
  <c r="F73" i="2"/>
  <c r="F67" i="2"/>
  <c r="F68" i="2"/>
  <c r="F63" i="2"/>
  <c r="F64" i="2"/>
  <c r="F65" i="2"/>
  <c r="F56" i="2"/>
  <c r="F57" i="2"/>
  <c r="F52" i="2"/>
  <c r="F53" i="2"/>
  <c r="F54" i="2"/>
  <c r="F44" i="2"/>
  <c r="F45" i="2"/>
  <c r="F46" i="2"/>
  <c r="F43" i="2"/>
  <c r="F41" i="2"/>
  <c r="F37" i="2"/>
  <c r="F38" i="2"/>
  <c r="F39" i="2"/>
  <c r="F30" i="2"/>
  <c r="F31" i="2"/>
  <c r="F28" i="2"/>
  <c r="F22" i="2"/>
  <c r="F23" i="2"/>
  <c r="F24" i="2"/>
  <c r="F25" i="2"/>
  <c r="F18" i="2"/>
  <c r="F19" i="2"/>
  <c r="F20" i="2"/>
  <c r="F21" i="2"/>
  <c r="F17" i="2"/>
  <c r="F9" i="2"/>
  <c r="F10" i="2"/>
  <c r="F11" i="2"/>
  <c r="F12" i="2"/>
  <c r="F13" i="2"/>
  <c r="F6" i="2"/>
  <c r="F4" i="2"/>
  <c r="F7" i="2"/>
  <c r="F26" i="2"/>
  <c r="F27" i="2"/>
  <c r="F29" i="2"/>
  <c r="F32" i="2"/>
  <c r="F36" i="2"/>
  <c r="F40" i="2"/>
  <c r="F42" i="2"/>
  <c r="F47" i="2"/>
  <c r="F51" i="2"/>
  <c r="F55" i="2"/>
  <c r="F58" i="2"/>
  <c r="F62" i="2"/>
  <c r="F66" i="2"/>
  <c r="F69" i="2"/>
  <c r="F72" i="2"/>
  <c r="F81" i="2"/>
  <c r="F83" i="2"/>
  <c r="F91" i="2"/>
  <c r="F94" i="2"/>
  <c r="F96" i="2"/>
  <c r="F97" i="2"/>
  <c r="F100" i="2"/>
  <c r="F121" i="2"/>
  <c r="F3" i="2"/>
  <c r="F122" i="2" l="1"/>
</calcChain>
</file>

<file path=xl/sharedStrings.xml><?xml version="1.0" encoding="utf-8"?>
<sst xmlns="http://schemas.openxmlformats.org/spreadsheetml/2006/main" count="337" uniqueCount="64">
  <si>
    <t>Shift-I</t>
  </si>
  <si>
    <t>Shift-II</t>
  </si>
  <si>
    <t>Total</t>
  </si>
  <si>
    <t>School</t>
  </si>
  <si>
    <t>Department</t>
  </si>
  <si>
    <t>SBS</t>
  </si>
  <si>
    <t>Biochemistry</t>
  </si>
  <si>
    <t>Biotechnology</t>
  </si>
  <si>
    <t>Botany</t>
  </si>
  <si>
    <t>SCM</t>
  </si>
  <si>
    <t>Commerce</t>
  </si>
  <si>
    <t>Commerce Business Analytics</t>
  </si>
  <si>
    <t>Commerce CA</t>
  </si>
  <si>
    <t>Commerce Honours</t>
  </si>
  <si>
    <t>Commerce Strategic Finance</t>
  </si>
  <si>
    <t>Artificial Intelligence</t>
  </si>
  <si>
    <t>SD &amp; SA</t>
  </si>
  <si>
    <t>Computer Science</t>
  </si>
  <si>
    <t>Data Science</t>
  </si>
  <si>
    <t>Information Technology</t>
  </si>
  <si>
    <t>Mathematics</t>
  </si>
  <si>
    <t>Statistics</t>
  </si>
  <si>
    <t>SLAC</t>
  </si>
  <si>
    <t>English</t>
  </si>
  <si>
    <t>History</t>
  </si>
  <si>
    <t>Tamil</t>
  </si>
  <si>
    <t>SMS</t>
  </si>
  <si>
    <t>BBA</t>
  </si>
  <si>
    <t>MBA</t>
  </si>
  <si>
    <t>Counselling Psy</t>
  </si>
  <si>
    <t>Economics</t>
  </si>
  <si>
    <t>HRM</t>
  </si>
  <si>
    <t>Visual Communication</t>
  </si>
  <si>
    <t>SPS</t>
  </si>
  <si>
    <t>Chemistry</t>
  </si>
  <si>
    <t>Electronics</t>
  </si>
  <si>
    <t>Physics</t>
  </si>
  <si>
    <t>Viscom Technology</t>
  </si>
  <si>
    <t>Year</t>
  </si>
  <si>
    <t>PG-I-2023-24</t>
  </si>
  <si>
    <t>PG-II-2022-23</t>
  </si>
  <si>
    <t>UG-I-2023-24</t>
  </si>
  <si>
    <t>UG-II-2022-23</t>
  </si>
  <si>
    <t>UG-III-2021-22</t>
  </si>
  <si>
    <t>PhD-2021-22</t>
  </si>
  <si>
    <t>PhD-2022-23</t>
  </si>
  <si>
    <t>PhD-2023-24</t>
  </si>
  <si>
    <t xml:space="preserve">Total Student </t>
  </si>
  <si>
    <t>STUDENT STRENGTH - 2023-24</t>
  </si>
  <si>
    <t>STUDENT STRENGTH - 2024-25</t>
  </si>
  <si>
    <t>PG-I-2024-25</t>
  </si>
  <si>
    <t>PG-II-2023-24</t>
  </si>
  <si>
    <t>UG-I-2024-25</t>
  </si>
  <si>
    <t>UG-II-2023-24</t>
  </si>
  <si>
    <t>UG-III-2022-23</t>
  </si>
  <si>
    <t>PhD-2021-23</t>
  </si>
  <si>
    <t>PhD-2024-25</t>
  </si>
  <si>
    <t>SCS</t>
  </si>
  <si>
    <t>Prog</t>
  </si>
  <si>
    <t>UG</t>
  </si>
  <si>
    <t>PHD</t>
  </si>
  <si>
    <t>PG</t>
  </si>
  <si>
    <t>S1</t>
  </si>
  <si>
    <t>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</si>
</sst>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Verdana"/>
      <family val="2"/>
    </font>
    <font>
      <sz val="12"/>
      <color theme="1"/>
      <name val="Verdana"/>
      <family val="2"/>
    </font>
    <font>
      <sz val="12"/>
      <color rgb="FFFF0000"/>
      <name val="Verdana"/>
      <family val="2"/>
    </font>
    <font>
      <sz val="12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/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0"/>
  <sheetViews>
    <sheetView tabSelected="1" topLeftCell="B1" zoomScale="130" zoomScaleNormal="130" workbookViewId="0">
      <selection activeCell="E9" sqref="E9"/>
    </sheetView>
  </sheetViews>
  <sheetFormatPr defaultRowHeight="14.5" x14ac:dyDescent="0.35"/>
  <cols>
    <col min="1" max="1" width="9.7265625" style="6" bestFit="1" customWidth="1"/>
    <col min="2" max="2" width="29.54296875" style="10" bestFit="1" customWidth="1"/>
    <col min="3" max="3" width="22.453125" style="10" customWidth="1"/>
    <col min="4" max="4" width="9.26953125" style="6" bestFit="1" customWidth="1"/>
    <col min="5" max="5" width="10.453125" style="6" bestFit="1" customWidth="1"/>
    <col min="6" max="6" width="17.7265625" style="6" customWidth="1"/>
    <col min="7" max="7" width="14.1796875" customWidth="1"/>
  </cols>
  <sheetData>
    <row r="1" spans="1:7" ht="39" customHeight="1" x14ac:dyDescent="0.35">
      <c r="A1" s="21" t="s">
        <v>48</v>
      </c>
      <c r="B1" s="21"/>
      <c r="C1" s="21"/>
      <c r="D1" s="21"/>
      <c r="E1" s="21"/>
      <c r="F1" s="21"/>
    </row>
    <row r="2" spans="1:7" ht="41.25" customHeight="1" x14ac:dyDescent="0.35">
      <c r="A2" s="1" t="s">
        <v>3</v>
      </c>
      <c r="B2" s="1" t="s">
        <v>4</v>
      </c>
      <c r="C2" s="1" t="s">
        <v>38</v>
      </c>
      <c r="D2" s="1" t="s">
        <v>0</v>
      </c>
      <c r="E2" s="1" t="s">
        <v>1</v>
      </c>
      <c r="F2" s="1" t="s">
        <v>2</v>
      </c>
      <c r="G2" s="15" t="s">
        <v>58</v>
      </c>
    </row>
    <row r="3" spans="1:7" ht="15" x14ac:dyDescent="0.35">
      <c r="A3" s="16" t="s">
        <v>5</v>
      </c>
      <c r="B3" s="20" t="s">
        <v>6</v>
      </c>
      <c r="C3" s="2" t="s">
        <v>39</v>
      </c>
      <c r="D3" s="4"/>
      <c r="E3" s="13">
        <v>21</v>
      </c>
      <c r="F3" s="3">
        <f>SUM(D3:E3)</f>
        <v>21</v>
      </c>
      <c r="G3" t="str">
        <f>LEFT(C3,FIND("-",C3)-1)</f>
        <v>PG</v>
      </c>
    </row>
    <row r="4" spans="1:7" ht="15" x14ac:dyDescent="0.35">
      <c r="A4" s="16"/>
      <c r="B4" s="20"/>
      <c r="C4" s="2" t="s">
        <v>40</v>
      </c>
      <c r="D4" s="4"/>
      <c r="E4" s="13">
        <v>21</v>
      </c>
      <c r="F4" s="3">
        <f t="shared" ref="F4:F121" si="0">SUM(D4:E4)</f>
        <v>21</v>
      </c>
      <c r="G4" t="str">
        <f t="shared" ref="G4:G67" si="1">LEFT(C4,FIND("-",C4)-1)</f>
        <v>PG</v>
      </c>
    </row>
    <row r="5" spans="1:7" ht="15" x14ac:dyDescent="0.35">
      <c r="A5" s="16"/>
      <c r="B5" s="20" t="s">
        <v>7</v>
      </c>
      <c r="C5" s="9" t="s">
        <v>44</v>
      </c>
      <c r="D5" s="14">
        <v>1</v>
      </c>
      <c r="E5" s="12"/>
      <c r="F5" s="7">
        <f t="shared" si="0"/>
        <v>1</v>
      </c>
      <c r="G5" t="str">
        <f t="shared" si="1"/>
        <v>PhD</v>
      </c>
    </row>
    <row r="6" spans="1:7" ht="15" x14ac:dyDescent="0.35">
      <c r="A6" s="16"/>
      <c r="B6" s="20"/>
      <c r="C6" s="2" t="s">
        <v>39</v>
      </c>
      <c r="D6" s="4"/>
      <c r="E6" s="13">
        <v>28</v>
      </c>
      <c r="F6" s="3">
        <f t="shared" si="0"/>
        <v>28</v>
      </c>
      <c r="G6" t="str">
        <f t="shared" si="1"/>
        <v>PG</v>
      </c>
    </row>
    <row r="7" spans="1:7" ht="15" x14ac:dyDescent="0.35">
      <c r="A7" s="16"/>
      <c r="B7" s="20"/>
      <c r="C7" s="2" t="s">
        <v>40</v>
      </c>
      <c r="D7" s="4"/>
      <c r="E7" s="13">
        <v>28</v>
      </c>
      <c r="F7" s="3">
        <f t="shared" si="0"/>
        <v>28</v>
      </c>
      <c r="G7" t="str">
        <f t="shared" si="1"/>
        <v>PG</v>
      </c>
    </row>
    <row r="8" spans="1:7" ht="15" x14ac:dyDescent="0.35">
      <c r="A8" s="16"/>
      <c r="B8" s="20" t="s">
        <v>8</v>
      </c>
      <c r="C8" s="9" t="s">
        <v>44</v>
      </c>
      <c r="D8" s="14">
        <v>5</v>
      </c>
      <c r="E8" s="12"/>
      <c r="F8" s="7">
        <f t="shared" si="0"/>
        <v>5</v>
      </c>
      <c r="G8" t="str">
        <f t="shared" si="1"/>
        <v>PhD</v>
      </c>
    </row>
    <row r="9" spans="1:7" ht="15" x14ac:dyDescent="0.35">
      <c r="A9" s="16"/>
      <c r="B9" s="20"/>
      <c r="C9" s="2" t="s">
        <v>41</v>
      </c>
      <c r="D9" s="13">
        <v>50</v>
      </c>
      <c r="E9" s="4"/>
      <c r="F9" s="3">
        <f t="shared" si="0"/>
        <v>50</v>
      </c>
      <c r="G9" t="str">
        <f t="shared" si="1"/>
        <v>UG</v>
      </c>
    </row>
    <row r="10" spans="1:7" ht="15" x14ac:dyDescent="0.35">
      <c r="A10" s="16"/>
      <c r="B10" s="20"/>
      <c r="C10" s="2" t="s">
        <v>42</v>
      </c>
      <c r="D10" s="13">
        <v>48</v>
      </c>
      <c r="E10" s="4"/>
      <c r="F10" s="3">
        <f t="shared" si="0"/>
        <v>48</v>
      </c>
      <c r="G10" t="str">
        <f t="shared" si="1"/>
        <v>UG</v>
      </c>
    </row>
    <row r="11" spans="1:7" ht="15" x14ac:dyDescent="0.35">
      <c r="A11" s="16"/>
      <c r="B11" s="20"/>
      <c r="C11" s="2" t="s">
        <v>43</v>
      </c>
      <c r="D11" s="13">
        <v>51</v>
      </c>
      <c r="E11" s="4"/>
      <c r="F11" s="3">
        <f t="shared" si="0"/>
        <v>51</v>
      </c>
      <c r="G11" t="str">
        <f t="shared" si="1"/>
        <v>UG</v>
      </c>
    </row>
    <row r="12" spans="1:7" ht="15" x14ac:dyDescent="0.35">
      <c r="A12" s="16"/>
      <c r="B12" s="20"/>
      <c r="C12" s="2" t="s">
        <v>39</v>
      </c>
      <c r="D12" s="13">
        <v>17</v>
      </c>
      <c r="E12" s="4"/>
      <c r="F12" s="3">
        <f t="shared" si="0"/>
        <v>17</v>
      </c>
      <c r="G12" t="str">
        <f t="shared" si="1"/>
        <v>PG</v>
      </c>
    </row>
    <row r="13" spans="1:7" ht="15" x14ac:dyDescent="0.35">
      <c r="A13" s="16"/>
      <c r="B13" s="20"/>
      <c r="C13" s="2" t="s">
        <v>40</v>
      </c>
      <c r="D13" s="13">
        <v>17</v>
      </c>
      <c r="E13" s="4"/>
      <c r="F13" s="3">
        <f t="shared" si="0"/>
        <v>17</v>
      </c>
      <c r="G13" t="str">
        <f t="shared" si="1"/>
        <v>PG</v>
      </c>
    </row>
    <row r="14" spans="1:7" ht="15" x14ac:dyDescent="0.35">
      <c r="A14" s="17" t="s">
        <v>9</v>
      </c>
      <c r="B14" s="20" t="s">
        <v>10</v>
      </c>
      <c r="C14" s="9" t="s">
        <v>44</v>
      </c>
      <c r="D14" s="14">
        <v>7</v>
      </c>
      <c r="E14" s="12"/>
      <c r="F14" s="7">
        <f t="shared" ref="F14:F16" si="2">SUM(D14:E14)</f>
        <v>7</v>
      </c>
      <c r="G14" t="str">
        <f t="shared" si="1"/>
        <v>PhD</v>
      </c>
    </row>
    <row r="15" spans="1:7" ht="15" x14ac:dyDescent="0.35">
      <c r="A15" s="18"/>
      <c r="B15" s="20"/>
      <c r="C15" s="9" t="s">
        <v>45</v>
      </c>
      <c r="D15" s="14">
        <v>3</v>
      </c>
      <c r="E15" s="12"/>
      <c r="F15" s="7">
        <f t="shared" si="2"/>
        <v>3</v>
      </c>
      <c r="G15" t="str">
        <f t="shared" si="1"/>
        <v>PhD</v>
      </c>
    </row>
    <row r="16" spans="1:7" ht="15" x14ac:dyDescent="0.35">
      <c r="A16" s="18"/>
      <c r="B16" s="20"/>
      <c r="C16" s="9" t="s">
        <v>46</v>
      </c>
      <c r="D16" s="14">
        <v>9</v>
      </c>
      <c r="E16" s="12"/>
      <c r="F16" s="7">
        <f t="shared" si="2"/>
        <v>9</v>
      </c>
      <c r="G16" t="str">
        <f t="shared" si="1"/>
        <v>PhD</v>
      </c>
    </row>
    <row r="17" spans="1:7" ht="15" x14ac:dyDescent="0.35">
      <c r="A17" s="18"/>
      <c r="B17" s="20"/>
      <c r="C17" s="2" t="s">
        <v>41</v>
      </c>
      <c r="D17" s="13">
        <v>137</v>
      </c>
      <c r="E17" s="13">
        <v>187</v>
      </c>
      <c r="F17" s="3">
        <f t="shared" si="0"/>
        <v>324</v>
      </c>
      <c r="G17" t="str">
        <f t="shared" si="1"/>
        <v>UG</v>
      </c>
    </row>
    <row r="18" spans="1:7" ht="15" x14ac:dyDescent="0.35">
      <c r="A18" s="18"/>
      <c r="B18" s="20"/>
      <c r="C18" s="2" t="s">
        <v>42</v>
      </c>
      <c r="D18" s="13">
        <v>127</v>
      </c>
      <c r="E18" s="13">
        <v>182</v>
      </c>
      <c r="F18" s="3">
        <f t="shared" si="0"/>
        <v>309</v>
      </c>
      <c r="G18" t="str">
        <f t="shared" si="1"/>
        <v>UG</v>
      </c>
    </row>
    <row r="19" spans="1:7" ht="15" x14ac:dyDescent="0.35">
      <c r="A19" s="18"/>
      <c r="B19" s="20"/>
      <c r="C19" s="2" t="s">
        <v>43</v>
      </c>
      <c r="D19" s="13">
        <v>130</v>
      </c>
      <c r="E19" s="13">
        <v>200</v>
      </c>
      <c r="F19" s="3">
        <f t="shared" si="0"/>
        <v>330</v>
      </c>
      <c r="G19" t="str">
        <f t="shared" si="1"/>
        <v>UG</v>
      </c>
    </row>
    <row r="20" spans="1:7" ht="15" x14ac:dyDescent="0.35">
      <c r="A20" s="18"/>
      <c r="B20" s="20"/>
      <c r="C20" s="2" t="s">
        <v>39</v>
      </c>
      <c r="D20" s="13">
        <v>40</v>
      </c>
      <c r="E20" s="4"/>
      <c r="F20" s="3">
        <f t="shared" si="0"/>
        <v>40</v>
      </c>
      <c r="G20" t="str">
        <f t="shared" si="1"/>
        <v>PG</v>
      </c>
    </row>
    <row r="21" spans="1:7" ht="15" x14ac:dyDescent="0.35">
      <c r="A21" s="18"/>
      <c r="B21" s="20"/>
      <c r="C21" s="2" t="s">
        <v>40</v>
      </c>
      <c r="D21" s="13">
        <v>40</v>
      </c>
      <c r="E21" s="4"/>
      <c r="F21" s="3">
        <f t="shared" si="0"/>
        <v>40</v>
      </c>
      <c r="G21" t="str">
        <f t="shared" si="1"/>
        <v>PG</v>
      </c>
    </row>
    <row r="22" spans="1:7" ht="15" x14ac:dyDescent="0.35">
      <c r="A22" s="18"/>
      <c r="B22" s="20" t="s">
        <v>12</v>
      </c>
      <c r="C22" s="2" t="s">
        <v>41</v>
      </c>
      <c r="D22" s="4"/>
      <c r="E22" s="13">
        <v>64</v>
      </c>
      <c r="F22" s="3">
        <f t="shared" si="0"/>
        <v>64</v>
      </c>
      <c r="G22" t="str">
        <f t="shared" si="1"/>
        <v>UG</v>
      </c>
    </row>
    <row r="23" spans="1:7" ht="15" x14ac:dyDescent="0.35">
      <c r="A23" s="18"/>
      <c r="B23" s="20"/>
      <c r="C23" s="2" t="s">
        <v>42</v>
      </c>
      <c r="D23" s="4"/>
      <c r="E23" s="13">
        <v>62</v>
      </c>
      <c r="F23" s="3">
        <f t="shared" si="0"/>
        <v>62</v>
      </c>
      <c r="G23" t="str">
        <f t="shared" si="1"/>
        <v>UG</v>
      </c>
    </row>
    <row r="24" spans="1:7" ht="15" x14ac:dyDescent="0.35">
      <c r="A24" s="18"/>
      <c r="B24" s="20"/>
      <c r="C24" s="2" t="s">
        <v>43</v>
      </c>
      <c r="D24" s="4"/>
      <c r="E24" s="13">
        <v>67</v>
      </c>
      <c r="F24" s="3">
        <f t="shared" si="0"/>
        <v>67</v>
      </c>
      <c r="G24" t="str">
        <f t="shared" si="1"/>
        <v>UG</v>
      </c>
    </row>
    <row r="25" spans="1:7" ht="15" x14ac:dyDescent="0.35">
      <c r="A25" s="18"/>
      <c r="B25" s="20"/>
      <c r="C25" s="2" t="s">
        <v>39</v>
      </c>
      <c r="D25" s="4"/>
      <c r="E25" s="13">
        <v>43</v>
      </c>
      <c r="F25" s="3">
        <f t="shared" si="0"/>
        <v>43</v>
      </c>
      <c r="G25" t="str">
        <f t="shared" si="1"/>
        <v>PG</v>
      </c>
    </row>
    <row r="26" spans="1:7" ht="15" x14ac:dyDescent="0.35">
      <c r="A26" s="18"/>
      <c r="B26" s="20"/>
      <c r="C26" s="2" t="s">
        <v>40</v>
      </c>
      <c r="D26" s="4"/>
      <c r="E26" s="13">
        <v>43</v>
      </c>
      <c r="F26" s="3">
        <f t="shared" si="0"/>
        <v>43</v>
      </c>
      <c r="G26" t="str">
        <f t="shared" si="1"/>
        <v>PG</v>
      </c>
    </row>
    <row r="27" spans="1:7" ht="15" x14ac:dyDescent="0.35">
      <c r="A27" s="18"/>
      <c r="B27" s="20" t="s">
        <v>13</v>
      </c>
      <c r="C27" s="2" t="s">
        <v>41</v>
      </c>
      <c r="D27" s="4"/>
      <c r="E27" s="13">
        <v>58</v>
      </c>
      <c r="F27" s="3">
        <f t="shared" si="0"/>
        <v>58</v>
      </c>
      <c r="G27" t="str">
        <f t="shared" si="1"/>
        <v>UG</v>
      </c>
    </row>
    <row r="28" spans="1:7" ht="15" x14ac:dyDescent="0.35">
      <c r="A28" s="18"/>
      <c r="B28" s="20"/>
      <c r="C28" s="2" t="s">
        <v>42</v>
      </c>
      <c r="D28" s="4"/>
      <c r="E28" s="13">
        <v>58</v>
      </c>
      <c r="F28" s="3">
        <f t="shared" si="0"/>
        <v>58</v>
      </c>
      <c r="G28" t="str">
        <f t="shared" si="1"/>
        <v>UG</v>
      </c>
    </row>
    <row r="29" spans="1:7" ht="15" x14ac:dyDescent="0.35">
      <c r="A29" s="19"/>
      <c r="B29" s="20"/>
      <c r="C29" s="2" t="s">
        <v>43</v>
      </c>
      <c r="D29" s="4"/>
      <c r="E29" s="13">
        <v>53</v>
      </c>
      <c r="F29" s="3">
        <f t="shared" si="0"/>
        <v>53</v>
      </c>
      <c r="G29" t="str">
        <f t="shared" si="1"/>
        <v>UG</v>
      </c>
    </row>
    <row r="30" spans="1:7" ht="15" x14ac:dyDescent="0.35">
      <c r="A30" s="17" t="s">
        <v>57</v>
      </c>
      <c r="B30" s="20" t="s">
        <v>16</v>
      </c>
      <c r="C30" s="2" t="s">
        <v>41</v>
      </c>
      <c r="D30" s="13">
        <v>49</v>
      </c>
      <c r="E30" s="4"/>
      <c r="F30" s="3">
        <f t="shared" si="0"/>
        <v>49</v>
      </c>
      <c r="G30" t="str">
        <f t="shared" si="1"/>
        <v>UG</v>
      </c>
    </row>
    <row r="31" spans="1:7" ht="15" x14ac:dyDescent="0.35">
      <c r="A31" s="18"/>
      <c r="B31" s="20"/>
      <c r="C31" s="2" t="s">
        <v>42</v>
      </c>
      <c r="D31" s="13">
        <v>53</v>
      </c>
      <c r="E31" s="4"/>
      <c r="F31" s="3">
        <f t="shared" si="0"/>
        <v>53</v>
      </c>
      <c r="G31" t="str">
        <f t="shared" si="1"/>
        <v>UG</v>
      </c>
    </row>
    <row r="32" spans="1:7" ht="15" x14ac:dyDescent="0.35">
      <c r="A32" s="18"/>
      <c r="B32" s="20"/>
      <c r="C32" s="2" t="s">
        <v>43</v>
      </c>
      <c r="D32" s="13">
        <v>47</v>
      </c>
      <c r="E32" s="4"/>
      <c r="F32" s="3">
        <f t="shared" si="0"/>
        <v>47</v>
      </c>
      <c r="G32" t="str">
        <f t="shared" si="1"/>
        <v>UG</v>
      </c>
    </row>
    <row r="33" spans="1:7" ht="15" x14ac:dyDescent="0.35">
      <c r="A33" s="18"/>
      <c r="B33" s="20" t="s">
        <v>17</v>
      </c>
      <c r="C33" s="9" t="s">
        <v>44</v>
      </c>
      <c r="D33" s="14">
        <v>10</v>
      </c>
      <c r="E33" s="12"/>
      <c r="F33" s="7">
        <f t="shared" si="0"/>
        <v>10</v>
      </c>
      <c r="G33" t="str">
        <f t="shared" si="1"/>
        <v>PhD</v>
      </c>
    </row>
    <row r="34" spans="1:7" ht="15" x14ac:dyDescent="0.35">
      <c r="A34" s="18"/>
      <c r="B34" s="20"/>
      <c r="C34" s="9" t="s">
        <v>45</v>
      </c>
      <c r="D34" s="14">
        <v>2</v>
      </c>
      <c r="E34" s="12"/>
      <c r="F34" s="7">
        <f t="shared" si="0"/>
        <v>2</v>
      </c>
      <c r="G34" t="str">
        <f t="shared" si="1"/>
        <v>PhD</v>
      </c>
    </row>
    <row r="35" spans="1:7" ht="15" x14ac:dyDescent="0.35">
      <c r="A35" s="18"/>
      <c r="B35" s="20"/>
      <c r="C35" s="9" t="s">
        <v>46</v>
      </c>
      <c r="D35" s="14">
        <v>4</v>
      </c>
      <c r="E35" s="12"/>
      <c r="F35" s="7">
        <f t="shared" si="0"/>
        <v>4</v>
      </c>
      <c r="G35" t="str">
        <f t="shared" si="1"/>
        <v>PhD</v>
      </c>
    </row>
    <row r="36" spans="1:7" ht="15" x14ac:dyDescent="0.35">
      <c r="A36" s="18"/>
      <c r="B36" s="20"/>
      <c r="C36" s="2" t="s">
        <v>41</v>
      </c>
      <c r="D36" s="13">
        <v>67</v>
      </c>
      <c r="E36" s="13">
        <v>167</v>
      </c>
      <c r="F36" s="3">
        <f t="shared" si="0"/>
        <v>234</v>
      </c>
      <c r="G36" t="str">
        <f t="shared" si="1"/>
        <v>UG</v>
      </c>
    </row>
    <row r="37" spans="1:7" ht="15" x14ac:dyDescent="0.35">
      <c r="A37" s="18"/>
      <c r="B37" s="20"/>
      <c r="C37" s="2" t="s">
        <v>42</v>
      </c>
      <c r="D37" s="13">
        <v>63</v>
      </c>
      <c r="E37" s="13">
        <v>196</v>
      </c>
      <c r="F37" s="3">
        <f t="shared" si="0"/>
        <v>259</v>
      </c>
      <c r="G37" t="str">
        <f t="shared" si="1"/>
        <v>UG</v>
      </c>
    </row>
    <row r="38" spans="1:7" ht="15" x14ac:dyDescent="0.35">
      <c r="A38" s="18"/>
      <c r="B38" s="20"/>
      <c r="C38" s="2" t="s">
        <v>43</v>
      </c>
      <c r="D38" s="13">
        <v>67</v>
      </c>
      <c r="E38" s="13">
        <v>184</v>
      </c>
      <c r="F38" s="3">
        <f t="shared" si="0"/>
        <v>251</v>
      </c>
      <c r="G38" t="str">
        <f t="shared" si="1"/>
        <v>UG</v>
      </c>
    </row>
    <row r="39" spans="1:7" ht="15" x14ac:dyDescent="0.35">
      <c r="A39" s="18"/>
      <c r="B39" s="20"/>
      <c r="C39" s="2" t="s">
        <v>39</v>
      </c>
      <c r="D39" s="13">
        <v>58</v>
      </c>
      <c r="E39" s="13"/>
      <c r="F39" s="3">
        <f t="shared" si="0"/>
        <v>58</v>
      </c>
      <c r="G39" t="str">
        <f t="shared" si="1"/>
        <v>PG</v>
      </c>
    </row>
    <row r="40" spans="1:7" ht="15" x14ac:dyDescent="0.35">
      <c r="A40" s="18"/>
      <c r="B40" s="20"/>
      <c r="C40" s="2" t="s">
        <v>40</v>
      </c>
      <c r="D40" s="13">
        <v>58</v>
      </c>
      <c r="E40" s="13"/>
      <c r="F40" s="3">
        <f t="shared" si="0"/>
        <v>58</v>
      </c>
      <c r="G40" t="str">
        <f t="shared" si="1"/>
        <v>PG</v>
      </c>
    </row>
    <row r="41" spans="1:7" ht="15" x14ac:dyDescent="0.35">
      <c r="A41" s="18"/>
      <c r="B41" s="20" t="s">
        <v>18</v>
      </c>
      <c r="C41" s="2" t="s">
        <v>39</v>
      </c>
      <c r="D41" s="4"/>
      <c r="E41" s="13">
        <v>65</v>
      </c>
      <c r="F41" s="3">
        <f t="shared" si="0"/>
        <v>65</v>
      </c>
      <c r="G41" t="str">
        <f t="shared" si="1"/>
        <v>PG</v>
      </c>
    </row>
    <row r="42" spans="1:7" ht="15" x14ac:dyDescent="0.35">
      <c r="A42" s="18"/>
      <c r="B42" s="20"/>
      <c r="C42" s="2" t="s">
        <v>40</v>
      </c>
      <c r="D42" s="4"/>
      <c r="E42" s="13">
        <v>60</v>
      </c>
      <c r="F42" s="3">
        <f t="shared" si="0"/>
        <v>60</v>
      </c>
      <c r="G42" t="str">
        <f t="shared" si="1"/>
        <v>PG</v>
      </c>
    </row>
    <row r="43" spans="1:7" ht="15" x14ac:dyDescent="0.35">
      <c r="A43" s="18"/>
      <c r="B43" s="20" t="s">
        <v>19</v>
      </c>
      <c r="C43" s="2" t="s">
        <v>41</v>
      </c>
      <c r="D43" s="4"/>
      <c r="E43" s="13">
        <v>111</v>
      </c>
      <c r="F43" s="3">
        <f t="shared" si="0"/>
        <v>111</v>
      </c>
      <c r="G43" t="str">
        <f t="shared" si="1"/>
        <v>UG</v>
      </c>
    </row>
    <row r="44" spans="1:7" ht="15" x14ac:dyDescent="0.35">
      <c r="A44" s="18"/>
      <c r="B44" s="20"/>
      <c r="C44" s="2" t="s">
        <v>42</v>
      </c>
      <c r="D44" s="4"/>
      <c r="E44" s="13">
        <v>125</v>
      </c>
      <c r="F44" s="3">
        <f t="shared" si="0"/>
        <v>125</v>
      </c>
      <c r="G44" t="str">
        <f t="shared" si="1"/>
        <v>UG</v>
      </c>
    </row>
    <row r="45" spans="1:7" ht="15" x14ac:dyDescent="0.35">
      <c r="A45" s="18"/>
      <c r="B45" s="20"/>
      <c r="C45" s="2" t="s">
        <v>43</v>
      </c>
      <c r="D45" s="4"/>
      <c r="E45" s="13">
        <v>129</v>
      </c>
      <c r="F45" s="3">
        <f t="shared" si="0"/>
        <v>129</v>
      </c>
      <c r="G45" t="str">
        <f t="shared" si="1"/>
        <v>UG</v>
      </c>
    </row>
    <row r="46" spans="1:7" ht="15" x14ac:dyDescent="0.35">
      <c r="A46" s="18"/>
      <c r="B46" s="20"/>
      <c r="C46" s="2" t="s">
        <v>39</v>
      </c>
      <c r="D46" s="4"/>
      <c r="E46" s="13">
        <v>88</v>
      </c>
      <c r="F46" s="3">
        <f t="shared" si="0"/>
        <v>88</v>
      </c>
      <c r="G46" t="str">
        <f t="shared" si="1"/>
        <v>PG</v>
      </c>
    </row>
    <row r="47" spans="1:7" ht="15" x14ac:dyDescent="0.35">
      <c r="A47" s="18"/>
      <c r="B47" s="20"/>
      <c r="C47" s="2" t="s">
        <v>40</v>
      </c>
      <c r="D47" s="4"/>
      <c r="E47" s="13">
        <v>85</v>
      </c>
      <c r="F47" s="3">
        <f t="shared" si="0"/>
        <v>85</v>
      </c>
      <c r="G47" t="str">
        <f t="shared" si="1"/>
        <v>PG</v>
      </c>
    </row>
    <row r="48" spans="1:7" ht="15" x14ac:dyDescent="0.35">
      <c r="A48" s="18"/>
      <c r="B48" s="20" t="s">
        <v>20</v>
      </c>
      <c r="C48" s="9" t="s">
        <v>44</v>
      </c>
      <c r="D48" s="14">
        <v>1</v>
      </c>
      <c r="E48" s="12"/>
      <c r="F48" s="7">
        <f t="shared" ref="F48:F50" si="3">SUM(D48:E48)</f>
        <v>1</v>
      </c>
      <c r="G48" t="str">
        <f t="shared" si="1"/>
        <v>PhD</v>
      </c>
    </row>
    <row r="49" spans="1:7" ht="15" x14ac:dyDescent="0.35">
      <c r="A49" s="18"/>
      <c r="B49" s="20"/>
      <c r="C49" s="9" t="s">
        <v>45</v>
      </c>
      <c r="D49" s="14">
        <v>1</v>
      </c>
      <c r="E49" s="12"/>
      <c r="F49" s="7">
        <f t="shared" si="3"/>
        <v>1</v>
      </c>
      <c r="G49" t="str">
        <f t="shared" si="1"/>
        <v>PhD</v>
      </c>
    </row>
    <row r="50" spans="1:7" ht="15" x14ac:dyDescent="0.35">
      <c r="A50" s="18"/>
      <c r="B50" s="20"/>
      <c r="C50" s="9" t="s">
        <v>46</v>
      </c>
      <c r="D50" s="14">
        <v>2</v>
      </c>
      <c r="E50" s="12"/>
      <c r="F50" s="7">
        <f t="shared" si="3"/>
        <v>2</v>
      </c>
      <c r="G50" t="str">
        <f t="shared" si="1"/>
        <v>PhD</v>
      </c>
    </row>
    <row r="51" spans="1:7" ht="15" x14ac:dyDescent="0.35">
      <c r="A51" s="18"/>
      <c r="B51" s="20"/>
      <c r="C51" s="2" t="s">
        <v>41</v>
      </c>
      <c r="D51" s="13">
        <v>56</v>
      </c>
      <c r="E51" s="13">
        <v>18</v>
      </c>
      <c r="F51" s="3">
        <f t="shared" si="0"/>
        <v>74</v>
      </c>
      <c r="G51" t="str">
        <f t="shared" si="1"/>
        <v>UG</v>
      </c>
    </row>
    <row r="52" spans="1:7" ht="15" x14ac:dyDescent="0.35">
      <c r="A52" s="18"/>
      <c r="B52" s="20"/>
      <c r="C52" s="2" t="s">
        <v>42</v>
      </c>
      <c r="D52" s="13">
        <v>80</v>
      </c>
      <c r="E52" s="13">
        <v>25</v>
      </c>
      <c r="F52" s="3">
        <f t="shared" si="0"/>
        <v>105</v>
      </c>
      <c r="G52" t="str">
        <f t="shared" si="1"/>
        <v>UG</v>
      </c>
    </row>
    <row r="53" spans="1:7" ht="15" x14ac:dyDescent="0.35">
      <c r="A53" s="18"/>
      <c r="B53" s="20"/>
      <c r="C53" s="2" t="s">
        <v>43</v>
      </c>
      <c r="D53" s="13">
        <v>100</v>
      </c>
      <c r="E53" s="13">
        <v>44</v>
      </c>
      <c r="F53" s="3">
        <f t="shared" si="0"/>
        <v>144</v>
      </c>
      <c r="G53" t="str">
        <f t="shared" si="1"/>
        <v>UG</v>
      </c>
    </row>
    <row r="54" spans="1:7" ht="15" x14ac:dyDescent="0.35">
      <c r="A54" s="18"/>
      <c r="B54" s="20"/>
      <c r="C54" s="2" t="s">
        <v>39</v>
      </c>
      <c r="D54" s="13">
        <v>32</v>
      </c>
      <c r="E54" s="13">
        <v>29</v>
      </c>
      <c r="F54" s="3">
        <f t="shared" si="0"/>
        <v>61</v>
      </c>
      <c r="G54" t="str">
        <f t="shared" si="1"/>
        <v>PG</v>
      </c>
    </row>
    <row r="55" spans="1:7" ht="15" x14ac:dyDescent="0.35">
      <c r="A55" s="18"/>
      <c r="B55" s="20"/>
      <c r="C55" s="2" t="s">
        <v>40</v>
      </c>
      <c r="D55" s="13">
        <v>30</v>
      </c>
      <c r="E55" s="13">
        <v>29</v>
      </c>
      <c r="F55" s="3">
        <f t="shared" si="0"/>
        <v>59</v>
      </c>
      <c r="G55" t="str">
        <f t="shared" si="1"/>
        <v>PG</v>
      </c>
    </row>
    <row r="56" spans="1:7" ht="15" x14ac:dyDescent="0.35">
      <c r="A56" s="18"/>
      <c r="B56" s="20" t="s">
        <v>21</v>
      </c>
      <c r="C56" s="2" t="s">
        <v>41</v>
      </c>
      <c r="D56" s="13">
        <v>57</v>
      </c>
      <c r="E56" s="4"/>
      <c r="F56" s="3">
        <f t="shared" si="0"/>
        <v>57</v>
      </c>
      <c r="G56" t="str">
        <f t="shared" si="1"/>
        <v>UG</v>
      </c>
    </row>
    <row r="57" spans="1:7" ht="15" x14ac:dyDescent="0.35">
      <c r="A57" s="18"/>
      <c r="B57" s="20"/>
      <c r="C57" s="2" t="s">
        <v>42</v>
      </c>
      <c r="D57" s="13">
        <v>60</v>
      </c>
      <c r="E57" s="4"/>
      <c r="F57" s="3">
        <f t="shared" si="0"/>
        <v>60</v>
      </c>
      <c r="G57" t="str">
        <f t="shared" si="1"/>
        <v>UG</v>
      </c>
    </row>
    <row r="58" spans="1:7" ht="15" x14ac:dyDescent="0.35">
      <c r="A58" s="19"/>
      <c r="B58" s="20"/>
      <c r="C58" s="2" t="s">
        <v>43</v>
      </c>
      <c r="D58" s="13">
        <v>62</v>
      </c>
      <c r="E58" s="4"/>
      <c r="F58" s="3">
        <f t="shared" si="0"/>
        <v>62</v>
      </c>
      <c r="G58" t="str">
        <f t="shared" si="1"/>
        <v>UG</v>
      </c>
    </row>
    <row r="59" spans="1:7" ht="15" x14ac:dyDescent="0.35">
      <c r="A59" s="16" t="s">
        <v>22</v>
      </c>
      <c r="B59" s="20" t="s">
        <v>23</v>
      </c>
      <c r="C59" s="9" t="s">
        <v>44</v>
      </c>
      <c r="D59" s="14">
        <v>8</v>
      </c>
      <c r="E59" s="12"/>
      <c r="F59" s="7">
        <f t="shared" si="0"/>
        <v>8</v>
      </c>
      <c r="G59" t="str">
        <f t="shared" si="1"/>
        <v>PhD</v>
      </c>
    </row>
    <row r="60" spans="1:7" ht="15" x14ac:dyDescent="0.35">
      <c r="A60" s="16"/>
      <c r="B60" s="20"/>
      <c r="C60" s="9" t="s">
        <v>45</v>
      </c>
      <c r="D60" s="14">
        <v>2</v>
      </c>
      <c r="E60" s="12"/>
      <c r="F60" s="7">
        <f t="shared" si="0"/>
        <v>2</v>
      </c>
      <c r="G60" t="str">
        <f t="shared" si="1"/>
        <v>PhD</v>
      </c>
    </row>
    <row r="61" spans="1:7" ht="15" x14ac:dyDescent="0.35">
      <c r="A61" s="16"/>
      <c r="B61" s="20"/>
      <c r="C61" s="9" t="s">
        <v>46</v>
      </c>
      <c r="D61" s="14">
        <v>7</v>
      </c>
      <c r="E61" s="12"/>
      <c r="F61" s="7">
        <f t="shared" si="0"/>
        <v>7</v>
      </c>
      <c r="G61" t="str">
        <f t="shared" si="1"/>
        <v>PhD</v>
      </c>
    </row>
    <row r="62" spans="1:7" ht="15" x14ac:dyDescent="0.35">
      <c r="A62" s="16"/>
      <c r="B62" s="20"/>
      <c r="C62" s="2" t="s">
        <v>41</v>
      </c>
      <c r="D62" s="13">
        <v>64</v>
      </c>
      <c r="E62" s="13">
        <v>66</v>
      </c>
      <c r="F62" s="3">
        <f t="shared" si="0"/>
        <v>130</v>
      </c>
      <c r="G62" t="str">
        <f t="shared" si="1"/>
        <v>UG</v>
      </c>
    </row>
    <row r="63" spans="1:7" ht="15" x14ac:dyDescent="0.35">
      <c r="A63" s="16"/>
      <c r="B63" s="20"/>
      <c r="C63" s="2" t="s">
        <v>42</v>
      </c>
      <c r="D63" s="13">
        <v>60</v>
      </c>
      <c r="E63" s="13">
        <v>116</v>
      </c>
      <c r="F63" s="3">
        <f t="shared" si="0"/>
        <v>176</v>
      </c>
      <c r="G63" t="str">
        <f t="shared" si="1"/>
        <v>UG</v>
      </c>
    </row>
    <row r="64" spans="1:7" ht="15" x14ac:dyDescent="0.35">
      <c r="A64" s="16"/>
      <c r="B64" s="20"/>
      <c r="C64" s="2" t="s">
        <v>43</v>
      </c>
      <c r="D64" s="13">
        <v>64</v>
      </c>
      <c r="E64" s="13">
        <v>129</v>
      </c>
      <c r="F64" s="3">
        <f t="shared" si="0"/>
        <v>193</v>
      </c>
      <c r="G64" t="str">
        <f t="shared" si="1"/>
        <v>UG</v>
      </c>
    </row>
    <row r="65" spans="1:7" ht="15" x14ac:dyDescent="0.35">
      <c r="A65" s="16"/>
      <c r="B65" s="20"/>
      <c r="C65" s="2" t="s">
        <v>39</v>
      </c>
      <c r="D65" s="13">
        <v>40</v>
      </c>
      <c r="E65" s="13">
        <v>34</v>
      </c>
      <c r="F65" s="3">
        <f t="shared" si="0"/>
        <v>74</v>
      </c>
      <c r="G65" t="str">
        <f t="shared" si="1"/>
        <v>PG</v>
      </c>
    </row>
    <row r="66" spans="1:7" ht="15" x14ac:dyDescent="0.35">
      <c r="A66" s="16"/>
      <c r="B66" s="20"/>
      <c r="C66" s="2" t="s">
        <v>40</v>
      </c>
      <c r="D66" s="13">
        <v>39</v>
      </c>
      <c r="E66" s="13">
        <v>34</v>
      </c>
      <c r="F66" s="3">
        <f t="shared" si="0"/>
        <v>73</v>
      </c>
      <c r="G66" t="str">
        <f t="shared" si="1"/>
        <v>PG</v>
      </c>
    </row>
    <row r="67" spans="1:7" ht="15" x14ac:dyDescent="0.35">
      <c r="A67" s="16"/>
      <c r="B67" s="20" t="s">
        <v>24</v>
      </c>
      <c r="C67" s="2" t="s">
        <v>41</v>
      </c>
      <c r="D67" s="13">
        <v>65</v>
      </c>
      <c r="E67" s="4"/>
      <c r="F67" s="3">
        <f t="shared" si="0"/>
        <v>65</v>
      </c>
      <c r="G67" t="str">
        <f t="shared" si="1"/>
        <v>UG</v>
      </c>
    </row>
    <row r="68" spans="1:7" ht="15" x14ac:dyDescent="0.35">
      <c r="A68" s="16"/>
      <c r="B68" s="20"/>
      <c r="C68" s="2" t="s">
        <v>42</v>
      </c>
      <c r="D68" s="13">
        <v>66</v>
      </c>
      <c r="E68" s="4"/>
      <c r="F68" s="3">
        <f t="shared" si="0"/>
        <v>66</v>
      </c>
      <c r="G68" t="str">
        <f t="shared" ref="G68:G121" si="4">LEFT(C68,FIND("-",C68)-1)</f>
        <v>UG</v>
      </c>
    </row>
    <row r="69" spans="1:7" ht="15" x14ac:dyDescent="0.35">
      <c r="A69" s="16"/>
      <c r="B69" s="20"/>
      <c r="C69" s="2" t="s">
        <v>43</v>
      </c>
      <c r="D69" s="13">
        <v>69</v>
      </c>
      <c r="E69" s="4"/>
      <c r="F69" s="3">
        <f t="shared" si="0"/>
        <v>69</v>
      </c>
      <c r="G69" t="str">
        <f t="shared" si="4"/>
        <v>UG</v>
      </c>
    </row>
    <row r="70" spans="1:7" ht="15" x14ac:dyDescent="0.35">
      <c r="A70" s="16"/>
      <c r="B70" s="20" t="s">
        <v>25</v>
      </c>
      <c r="C70" s="9" t="s">
        <v>44</v>
      </c>
      <c r="D70" s="14">
        <v>3</v>
      </c>
      <c r="E70" s="12"/>
      <c r="F70" s="7">
        <f t="shared" ref="F70:F71" si="5">SUM(D70:E70)</f>
        <v>3</v>
      </c>
      <c r="G70" t="str">
        <f t="shared" si="4"/>
        <v>PhD</v>
      </c>
    </row>
    <row r="71" spans="1:7" ht="15" x14ac:dyDescent="0.35">
      <c r="A71" s="16"/>
      <c r="B71" s="20"/>
      <c r="C71" s="9" t="s">
        <v>46</v>
      </c>
      <c r="D71" s="14">
        <v>2</v>
      </c>
      <c r="E71" s="12"/>
      <c r="F71" s="7">
        <f t="shared" si="5"/>
        <v>2</v>
      </c>
      <c r="G71" t="str">
        <f t="shared" si="4"/>
        <v>PhD</v>
      </c>
    </row>
    <row r="72" spans="1:7" ht="15" x14ac:dyDescent="0.35">
      <c r="A72" s="16"/>
      <c r="B72" s="20"/>
      <c r="C72" s="2" t="s">
        <v>41</v>
      </c>
      <c r="D72" s="13">
        <v>66</v>
      </c>
      <c r="E72" s="4"/>
      <c r="F72" s="3">
        <f t="shared" si="0"/>
        <v>66</v>
      </c>
      <c r="G72" t="str">
        <f t="shared" si="4"/>
        <v>UG</v>
      </c>
    </row>
    <row r="73" spans="1:7" ht="15" x14ac:dyDescent="0.35">
      <c r="A73" s="16"/>
      <c r="B73" s="20"/>
      <c r="C73" s="2" t="s">
        <v>42</v>
      </c>
      <c r="D73" s="13">
        <v>60</v>
      </c>
      <c r="E73" s="4"/>
      <c r="F73" s="3">
        <f t="shared" si="0"/>
        <v>60</v>
      </c>
      <c r="G73" t="str">
        <f t="shared" si="4"/>
        <v>UG</v>
      </c>
    </row>
    <row r="74" spans="1:7" ht="15" x14ac:dyDescent="0.35">
      <c r="A74" s="16"/>
      <c r="B74" s="20"/>
      <c r="C74" s="2" t="s">
        <v>43</v>
      </c>
      <c r="D74" s="13">
        <v>67</v>
      </c>
      <c r="E74" s="4"/>
      <c r="F74" s="3">
        <f t="shared" si="0"/>
        <v>67</v>
      </c>
      <c r="G74" t="str">
        <f t="shared" si="4"/>
        <v>UG</v>
      </c>
    </row>
    <row r="75" spans="1:7" ht="15" x14ac:dyDescent="0.35">
      <c r="A75" s="16" t="s">
        <v>26</v>
      </c>
      <c r="B75" s="20" t="s">
        <v>27</v>
      </c>
      <c r="C75" s="2" t="s">
        <v>41</v>
      </c>
      <c r="D75" s="4"/>
      <c r="E75" s="13">
        <v>128</v>
      </c>
      <c r="F75" s="3">
        <f t="shared" si="0"/>
        <v>128</v>
      </c>
      <c r="G75" t="str">
        <f t="shared" si="4"/>
        <v>UG</v>
      </c>
    </row>
    <row r="76" spans="1:7" ht="15" x14ac:dyDescent="0.35">
      <c r="A76" s="16"/>
      <c r="B76" s="20"/>
      <c r="C76" s="2" t="s">
        <v>42</v>
      </c>
      <c r="D76" s="4"/>
      <c r="E76" s="13">
        <v>124</v>
      </c>
      <c r="F76" s="3">
        <f t="shared" si="0"/>
        <v>124</v>
      </c>
      <c r="G76" t="str">
        <f t="shared" si="4"/>
        <v>UG</v>
      </c>
    </row>
    <row r="77" spans="1:7" ht="15" x14ac:dyDescent="0.35">
      <c r="A77" s="16"/>
      <c r="B77" s="20"/>
      <c r="C77" s="2" t="s">
        <v>43</v>
      </c>
      <c r="D77" s="4"/>
      <c r="E77" s="13">
        <v>130</v>
      </c>
      <c r="F77" s="3">
        <f t="shared" si="0"/>
        <v>130</v>
      </c>
      <c r="G77" t="str">
        <f t="shared" si="4"/>
        <v>UG</v>
      </c>
    </row>
    <row r="78" spans="1:7" ht="15" x14ac:dyDescent="0.35">
      <c r="A78" s="16"/>
      <c r="B78" s="20" t="s">
        <v>28</v>
      </c>
      <c r="C78" s="9" t="s">
        <v>44</v>
      </c>
      <c r="D78" s="14">
        <v>10</v>
      </c>
      <c r="E78" s="12"/>
      <c r="F78" s="7">
        <f t="shared" si="0"/>
        <v>10</v>
      </c>
      <c r="G78" t="str">
        <f t="shared" si="4"/>
        <v>PhD</v>
      </c>
    </row>
    <row r="79" spans="1:7" ht="15" x14ac:dyDescent="0.35">
      <c r="A79" s="16"/>
      <c r="B79" s="20"/>
      <c r="C79" s="9" t="s">
        <v>46</v>
      </c>
      <c r="D79" s="14">
        <v>1</v>
      </c>
      <c r="E79" s="12"/>
      <c r="F79" s="7">
        <f t="shared" si="0"/>
        <v>1</v>
      </c>
      <c r="G79" t="str">
        <f t="shared" si="4"/>
        <v>PhD</v>
      </c>
    </row>
    <row r="80" spans="1:7" ht="15" x14ac:dyDescent="0.35">
      <c r="A80" s="16"/>
      <c r="B80" s="20"/>
      <c r="C80" s="2" t="s">
        <v>39</v>
      </c>
      <c r="D80" s="13">
        <v>118</v>
      </c>
      <c r="E80" s="4"/>
      <c r="F80" s="3">
        <f t="shared" si="0"/>
        <v>118</v>
      </c>
      <c r="G80" t="str">
        <f t="shared" si="4"/>
        <v>PG</v>
      </c>
    </row>
    <row r="81" spans="1:7" ht="15" x14ac:dyDescent="0.35">
      <c r="A81" s="16"/>
      <c r="B81" s="20"/>
      <c r="C81" s="2" t="s">
        <v>40</v>
      </c>
      <c r="D81" s="13">
        <v>120</v>
      </c>
      <c r="E81" s="4"/>
      <c r="F81" s="3">
        <f t="shared" si="0"/>
        <v>120</v>
      </c>
      <c r="G81" t="str">
        <f t="shared" si="4"/>
        <v>PG</v>
      </c>
    </row>
    <row r="82" spans="1:7" ht="15" x14ac:dyDescent="0.35">
      <c r="A82" s="16"/>
      <c r="B82" s="20" t="s">
        <v>29</v>
      </c>
      <c r="C82" s="2" t="s">
        <v>39</v>
      </c>
      <c r="D82" s="4"/>
      <c r="E82" s="13">
        <v>34</v>
      </c>
      <c r="F82" s="3">
        <f t="shared" si="0"/>
        <v>34</v>
      </c>
      <c r="G82" t="str">
        <f t="shared" si="4"/>
        <v>PG</v>
      </c>
    </row>
    <row r="83" spans="1:7" ht="15" x14ac:dyDescent="0.35">
      <c r="A83" s="16"/>
      <c r="B83" s="20"/>
      <c r="C83" s="2" t="s">
        <v>40</v>
      </c>
      <c r="D83" s="4"/>
      <c r="E83" s="13">
        <v>38</v>
      </c>
      <c r="F83" s="3">
        <f t="shared" si="0"/>
        <v>38</v>
      </c>
      <c r="G83" t="str">
        <f t="shared" si="4"/>
        <v>PG</v>
      </c>
    </row>
    <row r="84" spans="1:7" ht="15" x14ac:dyDescent="0.35">
      <c r="A84" s="16"/>
      <c r="B84" s="20" t="s">
        <v>30</v>
      </c>
      <c r="C84" s="9" t="s">
        <v>44</v>
      </c>
      <c r="D84" s="14">
        <v>1</v>
      </c>
      <c r="E84" s="12"/>
      <c r="F84" s="7">
        <f t="shared" ref="F84:F86" si="6">SUM(D84:E84)</f>
        <v>1</v>
      </c>
      <c r="G84" t="str">
        <f t="shared" si="4"/>
        <v>PhD</v>
      </c>
    </row>
    <row r="85" spans="1:7" ht="15" x14ac:dyDescent="0.35">
      <c r="A85" s="16"/>
      <c r="B85" s="20"/>
      <c r="C85" s="9" t="s">
        <v>45</v>
      </c>
      <c r="D85" s="14">
        <v>1</v>
      </c>
      <c r="E85" s="12"/>
      <c r="F85" s="7">
        <f t="shared" si="6"/>
        <v>1</v>
      </c>
      <c r="G85" t="str">
        <f t="shared" si="4"/>
        <v>PhD</v>
      </c>
    </row>
    <row r="86" spans="1:7" ht="15" x14ac:dyDescent="0.35">
      <c r="A86" s="16"/>
      <c r="B86" s="20"/>
      <c r="C86" s="9" t="s">
        <v>46</v>
      </c>
      <c r="D86" s="14">
        <v>1</v>
      </c>
      <c r="E86" s="12"/>
      <c r="F86" s="7">
        <f t="shared" si="6"/>
        <v>1</v>
      </c>
      <c r="G86" t="str">
        <f t="shared" si="4"/>
        <v>PhD</v>
      </c>
    </row>
    <row r="87" spans="1:7" ht="15" x14ac:dyDescent="0.35">
      <c r="A87" s="16"/>
      <c r="B87" s="20"/>
      <c r="C87" s="2" t="s">
        <v>41</v>
      </c>
      <c r="D87" s="13">
        <v>58</v>
      </c>
      <c r="E87" s="4"/>
      <c r="F87" s="3">
        <f t="shared" si="0"/>
        <v>58</v>
      </c>
      <c r="G87" t="str">
        <f t="shared" si="4"/>
        <v>UG</v>
      </c>
    </row>
    <row r="88" spans="1:7" ht="15" x14ac:dyDescent="0.35">
      <c r="A88" s="16"/>
      <c r="B88" s="20"/>
      <c r="C88" s="2" t="s">
        <v>42</v>
      </c>
      <c r="D88" s="13">
        <v>66</v>
      </c>
      <c r="E88" s="4"/>
      <c r="F88" s="3">
        <f t="shared" si="0"/>
        <v>66</v>
      </c>
      <c r="G88" t="str">
        <f t="shared" si="4"/>
        <v>UG</v>
      </c>
    </row>
    <row r="89" spans="1:7" ht="15" x14ac:dyDescent="0.35">
      <c r="A89" s="16"/>
      <c r="B89" s="20"/>
      <c r="C89" s="2" t="s">
        <v>43</v>
      </c>
      <c r="D89" s="13">
        <v>68</v>
      </c>
      <c r="E89" s="4"/>
      <c r="F89" s="3">
        <f t="shared" si="0"/>
        <v>68</v>
      </c>
      <c r="G89" t="str">
        <f t="shared" si="4"/>
        <v>UG</v>
      </c>
    </row>
    <row r="90" spans="1:7" ht="15" x14ac:dyDescent="0.35">
      <c r="A90" s="16"/>
      <c r="B90" s="20"/>
      <c r="C90" s="2" t="s">
        <v>39</v>
      </c>
      <c r="D90" s="13">
        <v>26</v>
      </c>
      <c r="E90" s="4"/>
      <c r="F90" s="3">
        <f t="shared" si="0"/>
        <v>26</v>
      </c>
      <c r="G90" t="str">
        <f t="shared" si="4"/>
        <v>PG</v>
      </c>
    </row>
    <row r="91" spans="1:7" ht="15" x14ac:dyDescent="0.35">
      <c r="A91" s="16"/>
      <c r="B91" s="20"/>
      <c r="C91" s="2" t="s">
        <v>40</v>
      </c>
      <c r="D91" s="13">
        <v>19</v>
      </c>
      <c r="E91" s="4"/>
      <c r="F91" s="3">
        <f t="shared" si="0"/>
        <v>19</v>
      </c>
      <c r="G91" t="str">
        <f t="shared" si="4"/>
        <v>PG</v>
      </c>
    </row>
    <row r="92" spans="1:7" ht="15" x14ac:dyDescent="0.35">
      <c r="A92" s="16"/>
      <c r="B92" s="20" t="s">
        <v>31</v>
      </c>
      <c r="C92" s="9" t="s">
        <v>44</v>
      </c>
      <c r="D92" s="14">
        <v>8</v>
      </c>
      <c r="E92" s="12"/>
      <c r="F92" s="7">
        <f t="shared" si="0"/>
        <v>8</v>
      </c>
      <c r="G92" t="str">
        <f t="shared" si="4"/>
        <v>PhD</v>
      </c>
    </row>
    <row r="93" spans="1:7" ht="15" x14ac:dyDescent="0.35">
      <c r="A93" s="16"/>
      <c r="B93" s="20"/>
      <c r="C93" s="2" t="s">
        <v>39</v>
      </c>
      <c r="D93" s="13">
        <v>40</v>
      </c>
      <c r="E93" s="4"/>
      <c r="F93" s="3">
        <f t="shared" si="0"/>
        <v>40</v>
      </c>
      <c r="G93" t="str">
        <f t="shared" si="4"/>
        <v>PG</v>
      </c>
    </row>
    <row r="94" spans="1:7" ht="15" x14ac:dyDescent="0.35">
      <c r="A94" s="16"/>
      <c r="B94" s="20"/>
      <c r="C94" s="2" t="s">
        <v>40</v>
      </c>
      <c r="D94" s="13">
        <v>38</v>
      </c>
      <c r="E94" s="4"/>
      <c r="F94" s="3">
        <f t="shared" si="0"/>
        <v>38</v>
      </c>
      <c r="G94" t="str">
        <f t="shared" si="4"/>
        <v>PG</v>
      </c>
    </row>
    <row r="95" spans="1:7" ht="15" x14ac:dyDescent="0.35">
      <c r="A95" s="16"/>
      <c r="B95" s="20" t="s">
        <v>37</v>
      </c>
      <c r="C95" s="2" t="s">
        <v>41</v>
      </c>
      <c r="D95" s="13">
        <v>47</v>
      </c>
      <c r="E95" s="4"/>
      <c r="F95" s="3">
        <f t="shared" si="0"/>
        <v>47</v>
      </c>
      <c r="G95" t="str">
        <f t="shared" si="4"/>
        <v>UG</v>
      </c>
    </row>
    <row r="96" spans="1:7" ht="15" x14ac:dyDescent="0.35">
      <c r="A96" s="16"/>
      <c r="B96" s="20"/>
      <c r="C96" s="2" t="s">
        <v>42</v>
      </c>
      <c r="D96" s="13">
        <v>42</v>
      </c>
      <c r="E96" s="4"/>
      <c r="F96" s="3">
        <f t="shared" si="0"/>
        <v>42</v>
      </c>
      <c r="G96" t="str">
        <f t="shared" si="4"/>
        <v>UG</v>
      </c>
    </row>
    <row r="97" spans="1:7" ht="15" x14ac:dyDescent="0.35">
      <c r="A97" s="16"/>
      <c r="B97" s="20"/>
      <c r="C97" s="2" t="s">
        <v>43</v>
      </c>
      <c r="D97" s="13">
        <v>46</v>
      </c>
      <c r="E97" s="4"/>
      <c r="F97" s="3">
        <f t="shared" si="0"/>
        <v>46</v>
      </c>
      <c r="G97" t="str">
        <f t="shared" si="4"/>
        <v>UG</v>
      </c>
    </row>
    <row r="98" spans="1:7" ht="15" x14ac:dyDescent="0.35">
      <c r="A98" s="16"/>
      <c r="B98" s="20" t="s">
        <v>32</v>
      </c>
      <c r="C98" s="2" t="s">
        <v>41</v>
      </c>
      <c r="D98" s="4"/>
      <c r="E98" s="13">
        <v>40</v>
      </c>
      <c r="F98" s="3">
        <f t="shared" si="0"/>
        <v>40</v>
      </c>
      <c r="G98" t="str">
        <f t="shared" si="4"/>
        <v>UG</v>
      </c>
    </row>
    <row r="99" spans="1:7" ht="15" x14ac:dyDescent="0.35">
      <c r="A99" s="16"/>
      <c r="B99" s="20"/>
      <c r="C99" s="2" t="s">
        <v>42</v>
      </c>
      <c r="D99" s="4"/>
      <c r="E99" s="13">
        <v>40</v>
      </c>
      <c r="F99" s="3">
        <f t="shared" si="0"/>
        <v>40</v>
      </c>
      <c r="G99" t="str">
        <f t="shared" si="4"/>
        <v>UG</v>
      </c>
    </row>
    <row r="100" spans="1:7" ht="15" x14ac:dyDescent="0.35">
      <c r="A100" s="16"/>
      <c r="B100" s="20"/>
      <c r="C100" s="2" t="s">
        <v>43</v>
      </c>
      <c r="D100" s="4"/>
      <c r="E100" s="13">
        <v>41</v>
      </c>
      <c r="F100" s="3">
        <f t="shared" si="0"/>
        <v>41</v>
      </c>
      <c r="G100" t="str">
        <f t="shared" si="4"/>
        <v>UG</v>
      </c>
    </row>
    <row r="101" spans="1:7" ht="15" x14ac:dyDescent="0.35">
      <c r="A101" s="16" t="s">
        <v>33</v>
      </c>
      <c r="B101" s="20" t="s">
        <v>34</v>
      </c>
      <c r="C101" s="9" t="s">
        <v>44</v>
      </c>
      <c r="D101" s="14">
        <v>2</v>
      </c>
      <c r="E101" s="12"/>
      <c r="F101" s="7">
        <f t="shared" si="0"/>
        <v>2</v>
      </c>
      <c r="G101" t="str">
        <f t="shared" si="4"/>
        <v>PhD</v>
      </c>
    </row>
    <row r="102" spans="1:7" ht="15" x14ac:dyDescent="0.35">
      <c r="A102" s="16"/>
      <c r="B102" s="20"/>
      <c r="C102" s="9" t="s">
        <v>45</v>
      </c>
      <c r="D102" s="14">
        <v>1</v>
      </c>
      <c r="E102" s="12"/>
      <c r="F102" s="7">
        <f t="shared" si="0"/>
        <v>1</v>
      </c>
      <c r="G102" t="str">
        <f t="shared" si="4"/>
        <v>PhD</v>
      </c>
    </row>
    <row r="103" spans="1:7" ht="15" x14ac:dyDescent="0.35">
      <c r="A103" s="16"/>
      <c r="B103" s="20"/>
      <c r="C103" s="9" t="s">
        <v>46</v>
      </c>
      <c r="D103" s="14">
        <v>2</v>
      </c>
      <c r="E103" s="12"/>
      <c r="F103" s="7">
        <f t="shared" si="0"/>
        <v>2</v>
      </c>
      <c r="G103" t="str">
        <f t="shared" si="4"/>
        <v>PhD</v>
      </c>
    </row>
    <row r="104" spans="1:7" ht="15" x14ac:dyDescent="0.35">
      <c r="A104" s="16"/>
      <c r="B104" s="20"/>
      <c r="C104" s="2" t="s">
        <v>41</v>
      </c>
      <c r="D104" s="13">
        <v>82</v>
      </c>
      <c r="E104" s="13"/>
      <c r="F104" s="3">
        <f t="shared" si="0"/>
        <v>82</v>
      </c>
      <c r="G104" t="str">
        <f t="shared" si="4"/>
        <v>UG</v>
      </c>
    </row>
    <row r="105" spans="1:7" ht="15" x14ac:dyDescent="0.35">
      <c r="A105" s="16"/>
      <c r="B105" s="20"/>
      <c r="C105" s="2" t="s">
        <v>42</v>
      </c>
      <c r="D105" s="13">
        <v>97</v>
      </c>
      <c r="E105" s="13"/>
      <c r="F105" s="3">
        <f t="shared" si="0"/>
        <v>97</v>
      </c>
      <c r="G105" t="str">
        <f t="shared" si="4"/>
        <v>UG</v>
      </c>
    </row>
    <row r="106" spans="1:7" ht="15" x14ac:dyDescent="0.35">
      <c r="A106" s="16"/>
      <c r="B106" s="20"/>
      <c r="C106" s="2" t="s">
        <v>43</v>
      </c>
      <c r="D106" s="13">
        <v>105</v>
      </c>
      <c r="E106" s="13"/>
      <c r="F106" s="3">
        <f t="shared" si="0"/>
        <v>105</v>
      </c>
      <c r="G106" t="str">
        <f t="shared" si="4"/>
        <v>UG</v>
      </c>
    </row>
    <row r="107" spans="1:7" ht="15" x14ac:dyDescent="0.35">
      <c r="A107" s="16"/>
      <c r="B107" s="20"/>
      <c r="C107" s="2" t="s">
        <v>39</v>
      </c>
      <c r="D107" s="13">
        <v>29</v>
      </c>
      <c r="E107" s="13">
        <v>27</v>
      </c>
      <c r="F107" s="3">
        <f t="shared" si="0"/>
        <v>56</v>
      </c>
      <c r="G107" t="str">
        <f t="shared" si="4"/>
        <v>PG</v>
      </c>
    </row>
    <row r="108" spans="1:7" ht="15" x14ac:dyDescent="0.35">
      <c r="A108" s="16"/>
      <c r="B108" s="20"/>
      <c r="C108" s="2" t="s">
        <v>40</v>
      </c>
      <c r="D108" s="13">
        <v>28</v>
      </c>
      <c r="E108" s="13">
        <v>27</v>
      </c>
      <c r="F108" s="3">
        <f t="shared" si="0"/>
        <v>55</v>
      </c>
      <c r="G108" t="str">
        <f t="shared" si="4"/>
        <v>PG</v>
      </c>
    </row>
    <row r="109" spans="1:7" ht="15" x14ac:dyDescent="0.35">
      <c r="A109" s="16"/>
      <c r="B109" s="20" t="s">
        <v>35</v>
      </c>
      <c r="C109" s="2" t="s">
        <v>41</v>
      </c>
      <c r="D109" s="4"/>
      <c r="E109" s="13">
        <v>29</v>
      </c>
      <c r="F109" s="3">
        <f t="shared" si="0"/>
        <v>29</v>
      </c>
      <c r="G109" t="str">
        <f t="shared" si="4"/>
        <v>UG</v>
      </c>
    </row>
    <row r="110" spans="1:7" ht="15" x14ac:dyDescent="0.35">
      <c r="A110" s="16"/>
      <c r="B110" s="20"/>
      <c r="C110" s="2" t="s">
        <v>42</v>
      </c>
      <c r="D110" s="4"/>
      <c r="E110" s="13">
        <v>32</v>
      </c>
      <c r="F110" s="3">
        <f t="shared" si="0"/>
        <v>32</v>
      </c>
      <c r="G110" t="str">
        <f t="shared" si="4"/>
        <v>UG</v>
      </c>
    </row>
    <row r="111" spans="1:7" ht="15" x14ac:dyDescent="0.35">
      <c r="A111" s="16"/>
      <c r="B111" s="20"/>
      <c r="C111" s="2" t="s">
        <v>43</v>
      </c>
      <c r="D111" s="4"/>
      <c r="E111" s="13">
        <v>32</v>
      </c>
      <c r="F111" s="3">
        <f t="shared" si="0"/>
        <v>32</v>
      </c>
      <c r="G111" t="str">
        <f t="shared" si="4"/>
        <v>UG</v>
      </c>
    </row>
    <row r="112" spans="1:7" ht="15" x14ac:dyDescent="0.35">
      <c r="A112" s="16"/>
      <c r="B112" s="20"/>
      <c r="C112" s="2" t="s">
        <v>39</v>
      </c>
      <c r="D112" s="4"/>
      <c r="E112" s="13">
        <v>10</v>
      </c>
      <c r="F112" s="3">
        <f t="shared" si="0"/>
        <v>10</v>
      </c>
      <c r="G112" t="str">
        <f t="shared" si="4"/>
        <v>PG</v>
      </c>
    </row>
    <row r="113" spans="1:7" ht="15" x14ac:dyDescent="0.35">
      <c r="A113" s="16"/>
      <c r="B113" s="20"/>
      <c r="C113" s="2" t="s">
        <v>40</v>
      </c>
      <c r="D113" s="4"/>
      <c r="E113" s="13">
        <v>24</v>
      </c>
      <c r="F113" s="3">
        <f t="shared" si="0"/>
        <v>24</v>
      </c>
      <c r="G113" t="str">
        <f t="shared" si="4"/>
        <v>PG</v>
      </c>
    </row>
    <row r="114" spans="1:7" ht="15" x14ac:dyDescent="0.35">
      <c r="A114" s="16"/>
      <c r="B114" s="20" t="s">
        <v>36</v>
      </c>
      <c r="C114" s="9" t="s">
        <v>44</v>
      </c>
      <c r="D114" s="14">
        <v>5</v>
      </c>
      <c r="E114" s="12"/>
      <c r="F114" s="7">
        <f t="shared" ref="F114:F116" si="7">SUM(D114:E114)</f>
        <v>5</v>
      </c>
      <c r="G114" t="str">
        <f t="shared" si="4"/>
        <v>PhD</v>
      </c>
    </row>
    <row r="115" spans="1:7" ht="15" x14ac:dyDescent="0.35">
      <c r="A115" s="16"/>
      <c r="B115" s="20"/>
      <c r="C115" s="9" t="s">
        <v>45</v>
      </c>
      <c r="D115" s="14">
        <v>5</v>
      </c>
      <c r="E115" s="12"/>
      <c r="F115" s="7">
        <f t="shared" si="7"/>
        <v>5</v>
      </c>
      <c r="G115" t="str">
        <f t="shared" si="4"/>
        <v>PhD</v>
      </c>
    </row>
    <row r="116" spans="1:7" ht="15" x14ac:dyDescent="0.35">
      <c r="A116" s="16"/>
      <c r="B116" s="20"/>
      <c r="C116" s="9" t="s">
        <v>46</v>
      </c>
      <c r="D116" s="14">
        <v>6</v>
      </c>
      <c r="E116" s="12"/>
      <c r="F116" s="7">
        <f t="shared" si="7"/>
        <v>6</v>
      </c>
      <c r="G116" t="str">
        <f t="shared" si="4"/>
        <v>PhD</v>
      </c>
    </row>
    <row r="117" spans="1:7" ht="15" x14ac:dyDescent="0.35">
      <c r="A117" s="16"/>
      <c r="B117" s="20"/>
      <c r="C117" s="2" t="s">
        <v>41</v>
      </c>
      <c r="D117" s="13">
        <v>77</v>
      </c>
      <c r="E117" s="13">
        <v>32</v>
      </c>
      <c r="F117" s="3">
        <f t="shared" si="0"/>
        <v>109</v>
      </c>
      <c r="G117" t="str">
        <f t="shared" si="4"/>
        <v>UG</v>
      </c>
    </row>
    <row r="118" spans="1:7" ht="15" x14ac:dyDescent="0.35">
      <c r="A118" s="16"/>
      <c r="B118" s="20"/>
      <c r="C118" s="2" t="s">
        <v>42</v>
      </c>
      <c r="D118" s="13">
        <v>75</v>
      </c>
      <c r="E118" s="13">
        <v>33</v>
      </c>
      <c r="F118" s="3">
        <f t="shared" si="0"/>
        <v>108</v>
      </c>
      <c r="G118" t="str">
        <f t="shared" si="4"/>
        <v>UG</v>
      </c>
    </row>
    <row r="119" spans="1:7" ht="15" x14ac:dyDescent="0.35">
      <c r="A119" s="16"/>
      <c r="B119" s="20"/>
      <c r="C119" s="2" t="s">
        <v>43</v>
      </c>
      <c r="D119" s="13">
        <v>94</v>
      </c>
      <c r="E119" s="13">
        <v>47</v>
      </c>
      <c r="F119" s="3">
        <f t="shared" si="0"/>
        <v>141</v>
      </c>
      <c r="G119" t="str">
        <f t="shared" si="4"/>
        <v>UG</v>
      </c>
    </row>
    <row r="120" spans="1:7" ht="15" x14ac:dyDescent="0.35">
      <c r="A120" s="16"/>
      <c r="B120" s="20"/>
      <c r="C120" s="2" t="s">
        <v>39</v>
      </c>
      <c r="D120" s="13">
        <v>29</v>
      </c>
      <c r="E120" s="13">
        <v>37</v>
      </c>
      <c r="F120" s="3">
        <f t="shared" si="0"/>
        <v>66</v>
      </c>
      <c r="G120" t="str">
        <f t="shared" si="4"/>
        <v>PG</v>
      </c>
    </row>
    <row r="121" spans="1:7" ht="15" x14ac:dyDescent="0.35">
      <c r="A121" s="16"/>
      <c r="B121" s="20"/>
      <c r="C121" s="2" t="s">
        <v>40</v>
      </c>
      <c r="D121" s="13">
        <v>26</v>
      </c>
      <c r="E121" s="13">
        <v>32</v>
      </c>
      <c r="F121" s="3">
        <f t="shared" si="0"/>
        <v>58</v>
      </c>
      <c r="G121" t="str">
        <f t="shared" si="4"/>
        <v>PG</v>
      </c>
    </row>
    <row r="122" spans="1:7" ht="30.75" customHeight="1" x14ac:dyDescent="0.35">
      <c r="A122" s="3"/>
      <c r="B122" s="8" t="s">
        <v>47</v>
      </c>
      <c r="C122" s="8"/>
      <c r="D122" s="1"/>
      <c r="E122" s="1"/>
      <c r="F122" s="1">
        <f>SUM(F3:F121)</f>
        <v>7482</v>
      </c>
    </row>
    <row r="127" spans="1:7" x14ac:dyDescent="0.35">
      <c r="D127" s="6" t="s">
        <v>62</v>
      </c>
      <c r="E127" s="6" t="s">
        <v>63</v>
      </c>
    </row>
    <row r="128" spans="1:7" x14ac:dyDescent="0.35">
      <c r="C128" s="10" t="s">
        <v>61</v>
      </c>
      <c r="D128" s="6">
        <f>SUMIF(G2:G128,"PG",D2:D128)</f>
        <v>844</v>
      </c>
      <c r="E128" s="6">
        <f>SUMIF(G2:G128,"PG",E2:E128)</f>
        <v>837</v>
      </c>
    </row>
    <row r="129" spans="3:5" x14ac:dyDescent="0.35">
      <c r="C129" s="10" t="s">
        <v>59</v>
      </c>
      <c r="D129" s="6">
        <f>SUMIF(G2:G128,"UG",D2:D128)</f>
        <v>2742</v>
      </c>
      <c r="E129" s="6">
        <f>SUMIF(G2:G128,"UG",E2:E128)</f>
        <v>2949</v>
      </c>
    </row>
    <row r="130" spans="3:5" x14ac:dyDescent="0.35">
      <c r="C130" s="10" t="s">
        <v>60</v>
      </c>
      <c r="D130" s="6">
        <f>SUMIF(G2:G128,"PHD",D2:D128)</f>
        <v>110</v>
      </c>
    </row>
  </sheetData>
  <mergeCells count="32">
    <mergeCell ref="A101:A121"/>
    <mergeCell ref="B101:B108"/>
    <mergeCell ref="B114:B121"/>
    <mergeCell ref="A1:F1"/>
    <mergeCell ref="A59:A74"/>
    <mergeCell ref="B59:B66"/>
    <mergeCell ref="B70:B74"/>
    <mergeCell ref="B78:B81"/>
    <mergeCell ref="B84:B91"/>
    <mergeCell ref="B92:B94"/>
    <mergeCell ref="B109:B113"/>
    <mergeCell ref="B5:B7"/>
    <mergeCell ref="B8:B13"/>
    <mergeCell ref="B14:B21"/>
    <mergeCell ref="B33:B40"/>
    <mergeCell ref="B67:B69"/>
    <mergeCell ref="B75:B77"/>
    <mergeCell ref="A75:A100"/>
    <mergeCell ref="B82:B83"/>
    <mergeCell ref="B95:B97"/>
    <mergeCell ref="B98:B100"/>
    <mergeCell ref="A3:A13"/>
    <mergeCell ref="A14:A29"/>
    <mergeCell ref="A30:A58"/>
    <mergeCell ref="B41:B42"/>
    <mergeCell ref="B43:B47"/>
    <mergeCell ref="B56:B58"/>
    <mergeCell ref="B48:B55"/>
    <mergeCell ref="B3:B4"/>
    <mergeCell ref="B22:B26"/>
    <mergeCell ref="B27:B29"/>
    <mergeCell ref="B30:B3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G134"/>
  <sheetViews>
    <sheetView topLeftCell="B92" zoomScale="130" zoomScaleNormal="130" workbookViewId="0">
      <selection activeCell="D133" sqref="D133"/>
    </sheetView>
  </sheetViews>
  <sheetFormatPr defaultRowHeight="14.5" x14ac:dyDescent="0.35"/>
  <cols>
    <col min="1" max="1" width="9.7265625" style="6" bestFit="1" customWidth="1"/>
    <col min="2" max="2" width="29.54296875" style="10" bestFit="1" customWidth="1"/>
    <col min="3" max="3" width="22.453125" style="10" customWidth="1"/>
    <col min="4" max="4" width="9.26953125" style="6" bestFit="1" customWidth="1"/>
    <col min="5" max="5" width="10.453125" style="6" bestFit="1" customWidth="1"/>
    <col min="6" max="6" width="17.7265625" style="6" customWidth="1"/>
    <col min="7" max="7" width="23" customWidth="1"/>
  </cols>
  <sheetData>
    <row r="1" spans="1:7" ht="39" customHeight="1" x14ac:dyDescent="0.35">
      <c r="A1" s="22" t="s">
        <v>49</v>
      </c>
      <c r="B1" s="22"/>
      <c r="C1" s="22"/>
      <c r="D1" s="22"/>
      <c r="E1" s="22"/>
      <c r="F1" s="22"/>
    </row>
    <row r="2" spans="1:7" ht="41.25" customHeight="1" x14ac:dyDescent="0.35">
      <c r="A2" s="1" t="s">
        <v>3</v>
      </c>
      <c r="B2" s="1" t="s">
        <v>4</v>
      </c>
      <c r="C2" s="1" t="s">
        <v>38</v>
      </c>
      <c r="D2" s="1" t="s">
        <v>0</v>
      </c>
      <c r="E2" s="1" t="s">
        <v>1</v>
      </c>
      <c r="F2" s="1" t="s">
        <v>2</v>
      </c>
      <c r="G2" s="15" t="s">
        <v>58</v>
      </c>
    </row>
    <row r="3" spans="1:7" ht="15" hidden="1" x14ac:dyDescent="0.35">
      <c r="A3" s="16" t="s">
        <v>5</v>
      </c>
      <c r="B3" s="20" t="s">
        <v>6</v>
      </c>
      <c r="C3" s="2" t="s">
        <v>50</v>
      </c>
      <c r="D3" s="4"/>
      <c r="E3" s="13">
        <v>13</v>
      </c>
      <c r="F3" s="3">
        <f>SUM(D3:E3)</f>
        <v>13</v>
      </c>
      <c r="G3" t="str">
        <f>LEFT(C3,FIND("-",C3)-1)</f>
        <v>PG</v>
      </c>
    </row>
    <row r="4" spans="1:7" ht="15" hidden="1" x14ac:dyDescent="0.35">
      <c r="A4" s="16"/>
      <c r="B4" s="20"/>
      <c r="C4" s="2" t="s">
        <v>51</v>
      </c>
      <c r="D4" s="4"/>
      <c r="E4" s="13">
        <v>21</v>
      </c>
      <c r="F4" s="3">
        <f t="shared" ref="F4:F67" si="0">SUM(D4:E4)</f>
        <v>21</v>
      </c>
      <c r="G4" t="str">
        <f t="shared" ref="G4:G67" si="1">LEFT(C4,FIND("-",C4)-1)</f>
        <v>PG</v>
      </c>
    </row>
    <row r="5" spans="1:7" ht="15" hidden="1" x14ac:dyDescent="0.35">
      <c r="A5" s="16"/>
      <c r="B5" s="20" t="s">
        <v>7</v>
      </c>
      <c r="C5" s="9" t="s">
        <v>55</v>
      </c>
      <c r="D5" s="14">
        <v>1</v>
      </c>
      <c r="E5" s="12"/>
      <c r="F5" s="3">
        <f t="shared" si="0"/>
        <v>1</v>
      </c>
      <c r="G5" t="str">
        <f t="shared" si="1"/>
        <v>PhD</v>
      </c>
    </row>
    <row r="6" spans="1:7" ht="15" hidden="1" x14ac:dyDescent="0.35">
      <c r="A6" s="16"/>
      <c r="B6" s="20"/>
      <c r="C6" s="9" t="s">
        <v>56</v>
      </c>
      <c r="D6" s="14">
        <v>2</v>
      </c>
      <c r="E6" s="12"/>
      <c r="F6" s="3">
        <f t="shared" si="0"/>
        <v>2</v>
      </c>
      <c r="G6" t="str">
        <f t="shared" si="1"/>
        <v>PhD</v>
      </c>
    </row>
    <row r="7" spans="1:7" ht="15" hidden="1" x14ac:dyDescent="0.35">
      <c r="A7" s="16"/>
      <c r="B7" s="20"/>
      <c r="C7" s="2" t="s">
        <v>50</v>
      </c>
      <c r="D7" s="4"/>
      <c r="E7" s="13">
        <v>27</v>
      </c>
      <c r="F7" s="3">
        <f t="shared" si="0"/>
        <v>27</v>
      </c>
      <c r="G7" t="str">
        <f t="shared" si="1"/>
        <v>PG</v>
      </c>
    </row>
    <row r="8" spans="1:7" ht="15" hidden="1" x14ac:dyDescent="0.35">
      <c r="A8" s="16"/>
      <c r="B8" s="20"/>
      <c r="C8" s="2" t="s">
        <v>51</v>
      </c>
      <c r="D8" s="4"/>
      <c r="E8" s="13">
        <v>28</v>
      </c>
      <c r="F8" s="3">
        <f t="shared" si="0"/>
        <v>28</v>
      </c>
      <c r="G8" t="str">
        <f t="shared" si="1"/>
        <v>PG</v>
      </c>
    </row>
    <row r="9" spans="1:7" ht="15" hidden="1" x14ac:dyDescent="0.35">
      <c r="A9" s="16"/>
      <c r="B9" s="20" t="s">
        <v>8</v>
      </c>
      <c r="C9" s="9" t="s">
        <v>46</v>
      </c>
      <c r="D9" s="14">
        <v>5</v>
      </c>
      <c r="E9" s="12"/>
      <c r="F9" s="3">
        <f t="shared" si="0"/>
        <v>5</v>
      </c>
      <c r="G9" t="str">
        <f t="shared" si="1"/>
        <v>PhD</v>
      </c>
    </row>
    <row r="10" spans="1:7" ht="15" hidden="1" x14ac:dyDescent="0.35">
      <c r="A10" s="16"/>
      <c r="B10" s="20"/>
      <c r="C10" s="9" t="s">
        <v>56</v>
      </c>
      <c r="D10" s="14">
        <v>5</v>
      </c>
      <c r="E10" s="12"/>
      <c r="F10" s="3">
        <f t="shared" si="0"/>
        <v>5</v>
      </c>
      <c r="G10" t="str">
        <f t="shared" si="1"/>
        <v>PhD</v>
      </c>
    </row>
    <row r="11" spans="1:7" ht="15" x14ac:dyDescent="0.35">
      <c r="A11" s="16"/>
      <c r="B11" s="20"/>
      <c r="C11" s="2" t="s">
        <v>52</v>
      </c>
      <c r="D11" s="13">
        <v>42</v>
      </c>
      <c r="E11" s="4"/>
      <c r="F11" s="3">
        <f t="shared" si="0"/>
        <v>42</v>
      </c>
      <c r="G11" t="str">
        <f t="shared" si="1"/>
        <v>UG</v>
      </c>
    </row>
    <row r="12" spans="1:7" ht="15" x14ac:dyDescent="0.35">
      <c r="A12" s="16"/>
      <c r="B12" s="20"/>
      <c r="C12" s="2" t="s">
        <v>53</v>
      </c>
      <c r="D12" s="13">
        <v>50</v>
      </c>
      <c r="E12" s="4"/>
      <c r="F12" s="3">
        <f t="shared" si="0"/>
        <v>50</v>
      </c>
      <c r="G12" t="str">
        <f t="shared" si="1"/>
        <v>UG</v>
      </c>
    </row>
    <row r="13" spans="1:7" ht="15" x14ac:dyDescent="0.35">
      <c r="A13" s="16"/>
      <c r="B13" s="20"/>
      <c r="C13" s="2" t="s">
        <v>54</v>
      </c>
      <c r="D13" s="13">
        <v>48</v>
      </c>
      <c r="E13" s="4"/>
      <c r="F13" s="3">
        <f t="shared" si="0"/>
        <v>48</v>
      </c>
      <c r="G13" t="str">
        <f t="shared" si="1"/>
        <v>UG</v>
      </c>
    </row>
    <row r="14" spans="1:7" ht="15" hidden="1" x14ac:dyDescent="0.35">
      <c r="A14" s="16"/>
      <c r="B14" s="20"/>
      <c r="C14" s="2" t="s">
        <v>50</v>
      </c>
      <c r="D14" s="13">
        <v>17</v>
      </c>
      <c r="E14" s="4"/>
      <c r="F14" s="3">
        <f t="shared" si="0"/>
        <v>17</v>
      </c>
      <c r="G14" t="str">
        <f t="shared" si="1"/>
        <v>PG</v>
      </c>
    </row>
    <row r="15" spans="1:7" ht="15" hidden="1" x14ac:dyDescent="0.35">
      <c r="A15" s="16"/>
      <c r="B15" s="20"/>
      <c r="C15" s="2" t="s">
        <v>51</v>
      </c>
      <c r="D15" s="13">
        <v>17</v>
      </c>
      <c r="E15" s="4"/>
      <c r="F15" s="3">
        <f t="shared" si="0"/>
        <v>17</v>
      </c>
      <c r="G15" t="str">
        <f t="shared" si="1"/>
        <v>PG</v>
      </c>
    </row>
    <row r="16" spans="1:7" ht="15" hidden="1" x14ac:dyDescent="0.35">
      <c r="A16" s="17" t="s">
        <v>9</v>
      </c>
      <c r="B16" s="20" t="s">
        <v>10</v>
      </c>
      <c r="C16" s="9" t="s">
        <v>55</v>
      </c>
      <c r="D16" s="14">
        <v>10</v>
      </c>
      <c r="E16" s="12"/>
      <c r="F16" s="3">
        <f t="shared" si="0"/>
        <v>10</v>
      </c>
      <c r="G16" t="str">
        <f t="shared" si="1"/>
        <v>PhD</v>
      </c>
    </row>
    <row r="17" spans="1:7" ht="15" hidden="1" x14ac:dyDescent="0.35">
      <c r="A17" s="18"/>
      <c r="B17" s="20"/>
      <c r="C17" s="9" t="s">
        <v>46</v>
      </c>
      <c r="D17" s="14">
        <v>9</v>
      </c>
      <c r="E17" s="12"/>
      <c r="F17" s="3">
        <f t="shared" si="0"/>
        <v>9</v>
      </c>
      <c r="G17" t="str">
        <f t="shared" si="1"/>
        <v>PhD</v>
      </c>
    </row>
    <row r="18" spans="1:7" ht="15" hidden="1" x14ac:dyDescent="0.35">
      <c r="A18" s="18"/>
      <c r="B18" s="20"/>
      <c r="C18" s="9" t="s">
        <v>56</v>
      </c>
      <c r="D18" s="14">
        <v>6</v>
      </c>
      <c r="E18" s="12"/>
      <c r="F18" s="3">
        <f t="shared" si="0"/>
        <v>6</v>
      </c>
      <c r="G18" t="str">
        <f t="shared" si="1"/>
        <v>PhD</v>
      </c>
    </row>
    <row r="19" spans="1:7" ht="15" x14ac:dyDescent="0.35">
      <c r="A19" s="18"/>
      <c r="B19" s="20"/>
      <c r="C19" s="2" t="s">
        <v>52</v>
      </c>
      <c r="D19" s="13">
        <v>136</v>
      </c>
      <c r="E19" s="13">
        <v>180</v>
      </c>
      <c r="F19" s="3">
        <f t="shared" si="0"/>
        <v>316</v>
      </c>
      <c r="G19" t="str">
        <f t="shared" si="1"/>
        <v>UG</v>
      </c>
    </row>
    <row r="20" spans="1:7" ht="15" x14ac:dyDescent="0.35">
      <c r="A20" s="18"/>
      <c r="B20" s="20"/>
      <c r="C20" s="2" t="s">
        <v>53</v>
      </c>
      <c r="D20" s="13">
        <v>137</v>
      </c>
      <c r="E20" s="13">
        <v>186</v>
      </c>
      <c r="F20" s="3">
        <f t="shared" si="0"/>
        <v>323</v>
      </c>
      <c r="G20" t="str">
        <f t="shared" si="1"/>
        <v>UG</v>
      </c>
    </row>
    <row r="21" spans="1:7" ht="15" x14ac:dyDescent="0.35">
      <c r="A21" s="18"/>
      <c r="B21" s="20"/>
      <c r="C21" s="2" t="s">
        <v>54</v>
      </c>
      <c r="D21" s="13">
        <v>127</v>
      </c>
      <c r="E21" s="13">
        <v>182</v>
      </c>
      <c r="F21" s="3">
        <f t="shared" si="0"/>
        <v>309</v>
      </c>
      <c r="G21" t="str">
        <f t="shared" si="1"/>
        <v>UG</v>
      </c>
    </row>
    <row r="22" spans="1:7" ht="15" hidden="1" x14ac:dyDescent="0.35">
      <c r="A22" s="18"/>
      <c r="B22" s="20"/>
      <c r="C22" s="2" t="s">
        <v>50</v>
      </c>
      <c r="D22" s="13">
        <v>39</v>
      </c>
      <c r="E22" s="4"/>
      <c r="F22" s="3">
        <f t="shared" si="0"/>
        <v>39</v>
      </c>
      <c r="G22" t="str">
        <f t="shared" si="1"/>
        <v>PG</v>
      </c>
    </row>
    <row r="23" spans="1:7" ht="15" hidden="1" x14ac:dyDescent="0.35">
      <c r="A23" s="18"/>
      <c r="B23" s="20"/>
      <c r="C23" s="2" t="s">
        <v>51</v>
      </c>
      <c r="D23" s="13">
        <v>40</v>
      </c>
      <c r="E23" s="4"/>
      <c r="F23" s="3">
        <f t="shared" si="0"/>
        <v>40</v>
      </c>
      <c r="G23" t="str">
        <f t="shared" si="1"/>
        <v>PG</v>
      </c>
    </row>
    <row r="24" spans="1:7" ht="30" x14ac:dyDescent="0.35">
      <c r="A24" s="18"/>
      <c r="B24" s="11" t="s">
        <v>11</v>
      </c>
      <c r="C24" s="2" t="s">
        <v>52</v>
      </c>
      <c r="D24" s="4"/>
      <c r="E24" s="13">
        <v>39</v>
      </c>
      <c r="F24" s="3">
        <f t="shared" si="0"/>
        <v>39</v>
      </c>
      <c r="G24" t="str">
        <f t="shared" si="1"/>
        <v>UG</v>
      </c>
    </row>
    <row r="25" spans="1:7" ht="15" x14ac:dyDescent="0.35">
      <c r="A25" s="18"/>
      <c r="B25" s="20" t="s">
        <v>12</v>
      </c>
      <c r="C25" s="2" t="s">
        <v>52</v>
      </c>
      <c r="D25" s="4"/>
      <c r="E25" s="13">
        <v>125</v>
      </c>
      <c r="F25" s="3">
        <f t="shared" si="0"/>
        <v>125</v>
      </c>
      <c r="G25" t="str">
        <f t="shared" si="1"/>
        <v>UG</v>
      </c>
    </row>
    <row r="26" spans="1:7" ht="15" x14ac:dyDescent="0.35">
      <c r="A26" s="18"/>
      <c r="B26" s="20"/>
      <c r="C26" s="2" t="s">
        <v>53</v>
      </c>
      <c r="D26" s="4"/>
      <c r="E26" s="13">
        <v>63</v>
      </c>
      <c r="F26" s="3">
        <f t="shared" si="0"/>
        <v>63</v>
      </c>
      <c r="G26" t="str">
        <f t="shared" si="1"/>
        <v>UG</v>
      </c>
    </row>
    <row r="27" spans="1:7" ht="15" x14ac:dyDescent="0.35">
      <c r="A27" s="18"/>
      <c r="B27" s="20"/>
      <c r="C27" s="2" t="s">
        <v>54</v>
      </c>
      <c r="D27" s="4"/>
      <c r="E27" s="13">
        <v>62</v>
      </c>
      <c r="F27" s="3">
        <f t="shared" si="0"/>
        <v>62</v>
      </c>
      <c r="G27" t="str">
        <f t="shared" si="1"/>
        <v>UG</v>
      </c>
    </row>
    <row r="28" spans="1:7" ht="15" hidden="1" x14ac:dyDescent="0.35">
      <c r="A28" s="18"/>
      <c r="B28" s="20"/>
      <c r="C28" s="2" t="s">
        <v>50</v>
      </c>
      <c r="D28" s="4"/>
      <c r="E28" s="13">
        <v>44</v>
      </c>
      <c r="F28" s="3">
        <f t="shared" si="0"/>
        <v>44</v>
      </c>
      <c r="G28" t="str">
        <f t="shared" si="1"/>
        <v>PG</v>
      </c>
    </row>
    <row r="29" spans="1:7" ht="15" hidden="1" x14ac:dyDescent="0.35">
      <c r="A29" s="18"/>
      <c r="B29" s="20"/>
      <c r="C29" s="2" t="s">
        <v>51</v>
      </c>
      <c r="D29" s="4"/>
      <c r="E29" s="13">
        <v>43</v>
      </c>
      <c r="F29" s="3">
        <f t="shared" si="0"/>
        <v>43</v>
      </c>
      <c r="G29" t="str">
        <f t="shared" si="1"/>
        <v>PG</v>
      </c>
    </row>
    <row r="30" spans="1:7" ht="15" x14ac:dyDescent="0.35">
      <c r="A30" s="18"/>
      <c r="B30" s="20" t="s">
        <v>13</v>
      </c>
      <c r="C30" s="2" t="s">
        <v>52</v>
      </c>
      <c r="D30" s="4"/>
      <c r="E30" s="13">
        <v>57</v>
      </c>
      <c r="F30" s="3">
        <f t="shared" si="0"/>
        <v>57</v>
      </c>
      <c r="G30" t="str">
        <f t="shared" si="1"/>
        <v>UG</v>
      </c>
    </row>
    <row r="31" spans="1:7" ht="15" x14ac:dyDescent="0.35">
      <c r="A31" s="18"/>
      <c r="B31" s="20"/>
      <c r="C31" s="2" t="s">
        <v>53</v>
      </c>
      <c r="D31" s="4"/>
      <c r="E31" s="13">
        <v>58</v>
      </c>
      <c r="F31" s="3">
        <f t="shared" si="0"/>
        <v>58</v>
      </c>
      <c r="G31" t="str">
        <f t="shared" si="1"/>
        <v>UG</v>
      </c>
    </row>
    <row r="32" spans="1:7" ht="15" x14ac:dyDescent="0.35">
      <c r="A32" s="18"/>
      <c r="B32" s="20"/>
      <c r="C32" s="2" t="s">
        <v>54</v>
      </c>
      <c r="D32" s="4"/>
      <c r="E32" s="13">
        <v>58</v>
      </c>
      <c r="F32" s="3">
        <f t="shared" si="0"/>
        <v>58</v>
      </c>
      <c r="G32" t="str">
        <f t="shared" si="1"/>
        <v>UG</v>
      </c>
    </row>
    <row r="33" spans="1:7" ht="27.75" customHeight="1" x14ac:dyDescent="0.35">
      <c r="A33" s="19"/>
      <c r="B33" s="11" t="s">
        <v>14</v>
      </c>
      <c r="C33" s="2" t="s">
        <v>52</v>
      </c>
      <c r="D33" s="4"/>
      <c r="E33" s="13">
        <v>40</v>
      </c>
      <c r="F33" s="3">
        <f t="shared" si="0"/>
        <v>40</v>
      </c>
      <c r="G33" t="str">
        <f t="shared" si="1"/>
        <v>UG</v>
      </c>
    </row>
    <row r="34" spans="1:7" ht="21" customHeight="1" x14ac:dyDescent="0.35">
      <c r="A34" s="17" t="s">
        <v>57</v>
      </c>
      <c r="B34" s="2" t="s">
        <v>15</v>
      </c>
      <c r="C34" s="2" t="s">
        <v>52</v>
      </c>
      <c r="D34" s="4"/>
      <c r="E34" s="13">
        <v>59</v>
      </c>
      <c r="F34" s="3">
        <f t="shared" si="0"/>
        <v>59</v>
      </c>
      <c r="G34" t="str">
        <f t="shared" si="1"/>
        <v>UG</v>
      </c>
    </row>
    <row r="35" spans="1:7" ht="15" x14ac:dyDescent="0.35">
      <c r="A35" s="18"/>
      <c r="B35" s="20" t="s">
        <v>16</v>
      </c>
      <c r="C35" s="2" t="s">
        <v>52</v>
      </c>
      <c r="D35" s="13">
        <v>49</v>
      </c>
      <c r="E35" s="4"/>
      <c r="F35" s="3">
        <f t="shared" si="0"/>
        <v>49</v>
      </c>
      <c r="G35" t="str">
        <f t="shared" si="1"/>
        <v>UG</v>
      </c>
    </row>
    <row r="36" spans="1:7" ht="15" x14ac:dyDescent="0.35">
      <c r="A36" s="18"/>
      <c r="B36" s="20"/>
      <c r="C36" s="2" t="s">
        <v>53</v>
      </c>
      <c r="D36" s="13">
        <v>49</v>
      </c>
      <c r="E36" s="4"/>
      <c r="F36" s="3">
        <f t="shared" si="0"/>
        <v>49</v>
      </c>
      <c r="G36" t="str">
        <f t="shared" si="1"/>
        <v>UG</v>
      </c>
    </row>
    <row r="37" spans="1:7" ht="15.5" x14ac:dyDescent="0.35">
      <c r="A37" s="18"/>
      <c r="B37" s="20"/>
      <c r="C37" s="2" t="s">
        <v>54</v>
      </c>
      <c r="D37" s="13">
        <v>53</v>
      </c>
      <c r="E37" s="5"/>
      <c r="F37" s="3">
        <f t="shared" si="0"/>
        <v>53</v>
      </c>
      <c r="G37" t="str">
        <f t="shared" si="1"/>
        <v>UG</v>
      </c>
    </row>
    <row r="38" spans="1:7" ht="15" hidden="1" x14ac:dyDescent="0.35">
      <c r="A38" s="18"/>
      <c r="B38" s="20" t="s">
        <v>17</v>
      </c>
      <c r="C38" s="9" t="s">
        <v>55</v>
      </c>
      <c r="D38" s="14">
        <v>12</v>
      </c>
      <c r="E38" s="12"/>
      <c r="F38" s="3">
        <f t="shared" si="0"/>
        <v>12</v>
      </c>
      <c r="G38" t="str">
        <f t="shared" si="1"/>
        <v>PhD</v>
      </c>
    </row>
    <row r="39" spans="1:7" ht="15" hidden="1" x14ac:dyDescent="0.35">
      <c r="A39" s="18"/>
      <c r="B39" s="20"/>
      <c r="C39" s="9" t="s">
        <v>46</v>
      </c>
      <c r="D39" s="14">
        <v>4</v>
      </c>
      <c r="E39" s="12"/>
      <c r="F39" s="3">
        <f t="shared" si="0"/>
        <v>4</v>
      </c>
      <c r="G39" t="str">
        <f t="shared" si="1"/>
        <v>PhD</v>
      </c>
    </row>
    <row r="40" spans="1:7" ht="15" hidden="1" x14ac:dyDescent="0.35">
      <c r="A40" s="18"/>
      <c r="B40" s="20"/>
      <c r="C40" s="9" t="s">
        <v>56</v>
      </c>
      <c r="D40" s="14">
        <v>6</v>
      </c>
      <c r="E40" s="12"/>
      <c r="F40" s="3">
        <f t="shared" si="0"/>
        <v>6</v>
      </c>
      <c r="G40" t="str">
        <f t="shared" si="1"/>
        <v>PhD</v>
      </c>
    </row>
    <row r="41" spans="1:7" ht="15" x14ac:dyDescent="0.35">
      <c r="A41" s="18"/>
      <c r="B41" s="20"/>
      <c r="C41" s="2" t="s">
        <v>52</v>
      </c>
      <c r="D41" s="13">
        <v>65</v>
      </c>
      <c r="E41" s="13">
        <v>232</v>
      </c>
      <c r="F41" s="3">
        <f t="shared" si="0"/>
        <v>297</v>
      </c>
      <c r="G41" t="str">
        <f t="shared" si="1"/>
        <v>UG</v>
      </c>
    </row>
    <row r="42" spans="1:7" ht="15" x14ac:dyDescent="0.35">
      <c r="A42" s="18"/>
      <c r="B42" s="20"/>
      <c r="C42" s="2" t="s">
        <v>53</v>
      </c>
      <c r="D42" s="13">
        <v>67</v>
      </c>
      <c r="E42" s="13">
        <v>167</v>
      </c>
      <c r="F42" s="3">
        <f t="shared" si="0"/>
        <v>234</v>
      </c>
      <c r="G42" t="str">
        <f t="shared" si="1"/>
        <v>UG</v>
      </c>
    </row>
    <row r="43" spans="1:7" ht="15" x14ac:dyDescent="0.35">
      <c r="A43" s="18"/>
      <c r="B43" s="20"/>
      <c r="C43" s="2" t="s">
        <v>54</v>
      </c>
      <c r="D43" s="13">
        <v>63</v>
      </c>
      <c r="E43" s="13">
        <v>195</v>
      </c>
      <c r="F43" s="3">
        <f t="shared" si="0"/>
        <v>258</v>
      </c>
      <c r="G43" t="str">
        <f t="shared" si="1"/>
        <v>UG</v>
      </c>
    </row>
    <row r="44" spans="1:7" ht="15" hidden="1" x14ac:dyDescent="0.35">
      <c r="A44" s="18"/>
      <c r="B44" s="20"/>
      <c r="C44" s="2" t="s">
        <v>50</v>
      </c>
      <c r="D44" s="13">
        <v>58</v>
      </c>
      <c r="E44" s="4"/>
      <c r="F44" s="3">
        <f t="shared" si="0"/>
        <v>58</v>
      </c>
      <c r="G44" t="str">
        <f t="shared" si="1"/>
        <v>PG</v>
      </c>
    </row>
    <row r="45" spans="1:7" ht="15" hidden="1" x14ac:dyDescent="0.35">
      <c r="A45" s="18"/>
      <c r="B45" s="20"/>
      <c r="C45" s="2" t="s">
        <v>51</v>
      </c>
      <c r="D45" s="13">
        <v>58</v>
      </c>
      <c r="E45" s="4"/>
      <c r="F45" s="3">
        <f t="shared" si="0"/>
        <v>58</v>
      </c>
      <c r="G45" t="str">
        <f t="shared" si="1"/>
        <v>PG</v>
      </c>
    </row>
    <row r="46" spans="1:7" ht="15" hidden="1" x14ac:dyDescent="0.35">
      <c r="A46" s="18"/>
      <c r="B46" s="20" t="s">
        <v>18</v>
      </c>
      <c r="C46" s="2" t="s">
        <v>50</v>
      </c>
      <c r="D46" s="4"/>
      <c r="E46" s="13">
        <v>56</v>
      </c>
      <c r="F46" s="3">
        <f t="shared" si="0"/>
        <v>56</v>
      </c>
      <c r="G46" t="str">
        <f t="shared" si="1"/>
        <v>PG</v>
      </c>
    </row>
    <row r="47" spans="1:7" ht="15" hidden="1" x14ac:dyDescent="0.35">
      <c r="A47" s="18"/>
      <c r="B47" s="20"/>
      <c r="C47" s="2" t="s">
        <v>51</v>
      </c>
      <c r="D47" s="4"/>
      <c r="E47" s="13">
        <v>65</v>
      </c>
      <c r="F47" s="3">
        <f t="shared" si="0"/>
        <v>65</v>
      </c>
      <c r="G47" t="str">
        <f t="shared" si="1"/>
        <v>PG</v>
      </c>
    </row>
    <row r="48" spans="1:7" ht="15" x14ac:dyDescent="0.35">
      <c r="A48" s="18"/>
      <c r="B48" s="20" t="s">
        <v>19</v>
      </c>
      <c r="C48" s="2" t="s">
        <v>52</v>
      </c>
      <c r="D48" s="4"/>
      <c r="E48" s="13">
        <v>120</v>
      </c>
      <c r="F48" s="3">
        <f t="shared" si="0"/>
        <v>120</v>
      </c>
      <c r="G48" t="str">
        <f t="shared" si="1"/>
        <v>UG</v>
      </c>
    </row>
    <row r="49" spans="1:7" ht="15" x14ac:dyDescent="0.35">
      <c r="A49" s="18"/>
      <c r="B49" s="20"/>
      <c r="C49" s="2" t="s">
        <v>53</v>
      </c>
      <c r="D49" s="4"/>
      <c r="E49" s="13">
        <v>112</v>
      </c>
      <c r="F49" s="3">
        <f t="shared" si="0"/>
        <v>112</v>
      </c>
      <c r="G49" t="str">
        <f t="shared" si="1"/>
        <v>UG</v>
      </c>
    </row>
    <row r="50" spans="1:7" ht="15" x14ac:dyDescent="0.35">
      <c r="A50" s="18"/>
      <c r="B50" s="20"/>
      <c r="C50" s="2" t="s">
        <v>54</v>
      </c>
      <c r="D50" s="4"/>
      <c r="E50" s="13">
        <v>125</v>
      </c>
      <c r="F50" s="3">
        <f t="shared" si="0"/>
        <v>125</v>
      </c>
      <c r="G50" t="str">
        <f t="shared" si="1"/>
        <v>UG</v>
      </c>
    </row>
    <row r="51" spans="1:7" ht="15" hidden="1" x14ac:dyDescent="0.35">
      <c r="A51" s="18"/>
      <c r="B51" s="20"/>
      <c r="C51" s="2" t="s">
        <v>50</v>
      </c>
      <c r="D51" s="4"/>
      <c r="E51" s="13">
        <v>63</v>
      </c>
      <c r="F51" s="3">
        <f t="shared" si="0"/>
        <v>63</v>
      </c>
      <c r="G51" t="str">
        <f t="shared" si="1"/>
        <v>PG</v>
      </c>
    </row>
    <row r="52" spans="1:7" ht="15" hidden="1" x14ac:dyDescent="0.35">
      <c r="A52" s="18"/>
      <c r="B52" s="20"/>
      <c r="C52" s="2" t="s">
        <v>51</v>
      </c>
      <c r="D52" s="4"/>
      <c r="E52" s="13">
        <v>88</v>
      </c>
      <c r="F52" s="3">
        <f t="shared" si="0"/>
        <v>88</v>
      </c>
      <c r="G52" t="str">
        <f t="shared" si="1"/>
        <v>PG</v>
      </c>
    </row>
    <row r="53" spans="1:7" ht="15" hidden="1" x14ac:dyDescent="0.35">
      <c r="A53" s="18"/>
      <c r="B53" s="20" t="s">
        <v>20</v>
      </c>
      <c r="C53" s="9" t="s">
        <v>55</v>
      </c>
      <c r="D53" s="14">
        <v>1</v>
      </c>
      <c r="E53" s="12"/>
      <c r="F53" s="3">
        <f t="shared" si="0"/>
        <v>1</v>
      </c>
      <c r="G53" t="str">
        <f t="shared" si="1"/>
        <v>PhD</v>
      </c>
    </row>
    <row r="54" spans="1:7" ht="15" hidden="1" x14ac:dyDescent="0.35">
      <c r="A54" s="18"/>
      <c r="B54" s="20"/>
      <c r="C54" s="9" t="s">
        <v>46</v>
      </c>
      <c r="D54" s="14">
        <v>2</v>
      </c>
      <c r="E54" s="12"/>
      <c r="F54" s="3">
        <f t="shared" si="0"/>
        <v>2</v>
      </c>
      <c r="G54" t="str">
        <f t="shared" si="1"/>
        <v>PhD</v>
      </c>
    </row>
    <row r="55" spans="1:7" ht="15" hidden="1" x14ac:dyDescent="0.35">
      <c r="A55" s="18"/>
      <c r="B55" s="20"/>
      <c r="C55" s="9" t="s">
        <v>56</v>
      </c>
      <c r="D55" s="14">
        <v>3</v>
      </c>
      <c r="E55" s="12"/>
      <c r="F55" s="3">
        <f t="shared" si="0"/>
        <v>3</v>
      </c>
      <c r="G55" t="str">
        <f t="shared" si="1"/>
        <v>PhD</v>
      </c>
    </row>
    <row r="56" spans="1:7" ht="15" x14ac:dyDescent="0.35">
      <c r="A56" s="18"/>
      <c r="B56" s="20"/>
      <c r="C56" s="2" t="s">
        <v>52</v>
      </c>
      <c r="D56" s="13">
        <v>74</v>
      </c>
      <c r="E56" s="4"/>
      <c r="F56" s="3">
        <f t="shared" si="0"/>
        <v>74</v>
      </c>
      <c r="G56" t="str">
        <f t="shared" si="1"/>
        <v>UG</v>
      </c>
    </row>
    <row r="57" spans="1:7" ht="15" x14ac:dyDescent="0.35">
      <c r="A57" s="18"/>
      <c r="B57" s="20"/>
      <c r="C57" s="2" t="s">
        <v>53</v>
      </c>
      <c r="D57" s="13">
        <v>56</v>
      </c>
      <c r="E57" s="13">
        <v>18</v>
      </c>
      <c r="F57" s="3">
        <f t="shared" si="0"/>
        <v>74</v>
      </c>
      <c r="G57" t="str">
        <f t="shared" si="1"/>
        <v>UG</v>
      </c>
    </row>
    <row r="58" spans="1:7" ht="15" x14ac:dyDescent="0.35">
      <c r="A58" s="18"/>
      <c r="B58" s="20"/>
      <c r="C58" s="2" t="s">
        <v>54</v>
      </c>
      <c r="D58" s="13">
        <v>80</v>
      </c>
      <c r="E58" s="13">
        <v>25</v>
      </c>
      <c r="F58" s="3">
        <f t="shared" si="0"/>
        <v>105</v>
      </c>
      <c r="G58" t="str">
        <f t="shared" si="1"/>
        <v>UG</v>
      </c>
    </row>
    <row r="59" spans="1:7" ht="15" hidden="1" x14ac:dyDescent="0.35">
      <c r="A59" s="18"/>
      <c r="B59" s="20"/>
      <c r="C59" s="2" t="s">
        <v>50</v>
      </c>
      <c r="D59" s="13">
        <v>31</v>
      </c>
      <c r="E59" s="13">
        <v>23</v>
      </c>
      <c r="F59" s="3">
        <f t="shared" si="0"/>
        <v>54</v>
      </c>
      <c r="G59" t="str">
        <f t="shared" si="1"/>
        <v>PG</v>
      </c>
    </row>
    <row r="60" spans="1:7" ht="15" hidden="1" x14ac:dyDescent="0.35">
      <c r="A60" s="18"/>
      <c r="B60" s="20"/>
      <c r="C60" s="2" t="s">
        <v>51</v>
      </c>
      <c r="D60" s="13">
        <v>32</v>
      </c>
      <c r="E60" s="13">
        <v>29</v>
      </c>
      <c r="F60" s="3">
        <f t="shared" si="0"/>
        <v>61</v>
      </c>
      <c r="G60" t="str">
        <f t="shared" si="1"/>
        <v>PG</v>
      </c>
    </row>
    <row r="61" spans="1:7" ht="15" x14ac:dyDescent="0.35">
      <c r="A61" s="18"/>
      <c r="B61" s="20" t="s">
        <v>21</v>
      </c>
      <c r="C61" s="2" t="s">
        <v>52</v>
      </c>
      <c r="D61" s="13">
        <v>56</v>
      </c>
      <c r="E61" s="4"/>
      <c r="F61" s="3">
        <f t="shared" si="0"/>
        <v>56</v>
      </c>
      <c r="G61" t="str">
        <f t="shared" si="1"/>
        <v>UG</v>
      </c>
    </row>
    <row r="62" spans="1:7" ht="15" x14ac:dyDescent="0.35">
      <c r="A62" s="18"/>
      <c r="B62" s="20"/>
      <c r="C62" s="2" t="s">
        <v>53</v>
      </c>
      <c r="D62" s="13">
        <v>57</v>
      </c>
      <c r="E62" s="4"/>
      <c r="F62" s="3">
        <f t="shared" si="0"/>
        <v>57</v>
      </c>
      <c r="G62" t="str">
        <f t="shared" si="1"/>
        <v>UG</v>
      </c>
    </row>
    <row r="63" spans="1:7" ht="15" x14ac:dyDescent="0.35">
      <c r="A63" s="19"/>
      <c r="B63" s="20"/>
      <c r="C63" s="2" t="s">
        <v>54</v>
      </c>
      <c r="D63" s="13">
        <v>60</v>
      </c>
      <c r="E63" s="4"/>
      <c r="F63" s="3">
        <f t="shared" si="0"/>
        <v>60</v>
      </c>
      <c r="G63" t="str">
        <f t="shared" si="1"/>
        <v>UG</v>
      </c>
    </row>
    <row r="64" spans="1:7" ht="15" hidden="1" x14ac:dyDescent="0.35">
      <c r="A64" s="16" t="s">
        <v>22</v>
      </c>
      <c r="B64" s="20" t="s">
        <v>23</v>
      </c>
      <c r="C64" s="9" t="s">
        <v>55</v>
      </c>
      <c r="D64" s="14">
        <v>10</v>
      </c>
      <c r="E64" s="12"/>
      <c r="F64" s="3">
        <f t="shared" si="0"/>
        <v>10</v>
      </c>
      <c r="G64" t="str">
        <f t="shared" si="1"/>
        <v>PhD</v>
      </c>
    </row>
    <row r="65" spans="1:7" ht="15" hidden="1" x14ac:dyDescent="0.35">
      <c r="A65" s="16"/>
      <c r="B65" s="20"/>
      <c r="C65" s="9" t="s">
        <v>46</v>
      </c>
      <c r="D65" s="14">
        <v>7</v>
      </c>
      <c r="E65" s="12"/>
      <c r="F65" s="3">
        <f t="shared" si="0"/>
        <v>7</v>
      </c>
      <c r="G65" t="str">
        <f t="shared" si="1"/>
        <v>PhD</v>
      </c>
    </row>
    <row r="66" spans="1:7" ht="15" hidden="1" x14ac:dyDescent="0.35">
      <c r="A66" s="16"/>
      <c r="B66" s="20"/>
      <c r="C66" s="9" t="s">
        <v>56</v>
      </c>
      <c r="D66" s="14">
        <v>4</v>
      </c>
      <c r="E66" s="12"/>
      <c r="F66" s="3">
        <f t="shared" si="0"/>
        <v>4</v>
      </c>
      <c r="G66" t="str">
        <f t="shared" si="1"/>
        <v>PhD</v>
      </c>
    </row>
    <row r="67" spans="1:7" ht="15" x14ac:dyDescent="0.35">
      <c r="A67" s="16"/>
      <c r="B67" s="20"/>
      <c r="C67" s="2" t="s">
        <v>52</v>
      </c>
      <c r="D67" s="13">
        <v>55</v>
      </c>
      <c r="E67" s="13">
        <v>56</v>
      </c>
      <c r="F67" s="3">
        <f t="shared" si="0"/>
        <v>111</v>
      </c>
      <c r="G67" t="str">
        <f t="shared" si="1"/>
        <v>UG</v>
      </c>
    </row>
    <row r="68" spans="1:7" ht="15" x14ac:dyDescent="0.35">
      <c r="A68" s="16"/>
      <c r="B68" s="20"/>
      <c r="C68" s="2" t="s">
        <v>53</v>
      </c>
      <c r="D68" s="13">
        <v>64</v>
      </c>
      <c r="E68" s="13">
        <v>62</v>
      </c>
      <c r="F68" s="3">
        <f t="shared" ref="F68:F127" si="2">SUM(D68:E68)</f>
        <v>126</v>
      </c>
      <c r="G68" t="str">
        <f t="shared" ref="G68:G127" si="3">LEFT(C68,FIND("-",C68)-1)</f>
        <v>UG</v>
      </c>
    </row>
    <row r="69" spans="1:7" ht="15" x14ac:dyDescent="0.35">
      <c r="A69" s="16"/>
      <c r="B69" s="20"/>
      <c r="C69" s="2" t="s">
        <v>54</v>
      </c>
      <c r="D69" s="13">
        <v>60</v>
      </c>
      <c r="E69" s="13">
        <v>116</v>
      </c>
      <c r="F69" s="3">
        <f t="shared" si="2"/>
        <v>176</v>
      </c>
      <c r="G69" t="str">
        <f t="shared" si="3"/>
        <v>UG</v>
      </c>
    </row>
    <row r="70" spans="1:7" ht="15" hidden="1" x14ac:dyDescent="0.35">
      <c r="A70" s="16"/>
      <c r="B70" s="20"/>
      <c r="C70" s="2" t="s">
        <v>50</v>
      </c>
      <c r="D70" s="13">
        <v>37</v>
      </c>
      <c r="E70" s="13">
        <v>21</v>
      </c>
      <c r="F70" s="3">
        <f t="shared" si="2"/>
        <v>58</v>
      </c>
      <c r="G70" t="str">
        <f t="shared" si="3"/>
        <v>PG</v>
      </c>
    </row>
    <row r="71" spans="1:7" ht="15" hidden="1" x14ac:dyDescent="0.35">
      <c r="A71" s="16"/>
      <c r="B71" s="20"/>
      <c r="C71" s="2" t="s">
        <v>51</v>
      </c>
      <c r="D71" s="13">
        <v>40</v>
      </c>
      <c r="E71" s="13">
        <v>34</v>
      </c>
      <c r="F71" s="3">
        <f t="shared" si="2"/>
        <v>74</v>
      </c>
      <c r="G71" t="str">
        <f t="shared" si="3"/>
        <v>PG</v>
      </c>
    </row>
    <row r="72" spans="1:7" ht="15" x14ac:dyDescent="0.35">
      <c r="A72" s="16"/>
      <c r="B72" s="20" t="s">
        <v>24</v>
      </c>
      <c r="C72" s="2" t="s">
        <v>52</v>
      </c>
      <c r="D72" s="13">
        <v>66</v>
      </c>
      <c r="E72" s="4"/>
      <c r="F72" s="3">
        <f t="shared" si="2"/>
        <v>66</v>
      </c>
      <c r="G72" t="str">
        <f t="shared" si="3"/>
        <v>UG</v>
      </c>
    </row>
    <row r="73" spans="1:7" ht="15" x14ac:dyDescent="0.35">
      <c r="A73" s="16"/>
      <c r="B73" s="20"/>
      <c r="C73" s="2" t="s">
        <v>53</v>
      </c>
      <c r="D73" s="13">
        <v>64</v>
      </c>
      <c r="E73" s="4"/>
      <c r="F73" s="3">
        <f t="shared" si="2"/>
        <v>64</v>
      </c>
      <c r="G73" t="str">
        <f t="shared" si="3"/>
        <v>UG</v>
      </c>
    </row>
    <row r="74" spans="1:7" ht="15" x14ac:dyDescent="0.35">
      <c r="A74" s="16"/>
      <c r="B74" s="20"/>
      <c r="C74" s="2" t="s">
        <v>54</v>
      </c>
      <c r="D74" s="13">
        <v>66</v>
      </c>
      <c r="E74" s="4"/>
      <c r="F74" s="3">
        <f t="shared" si="2"/>
        <v>66</v>
      </c>
      <c r="G74" t="str">
        <f t="shared" si="3"/>
        <v>UG</v>
      </c>
    </row>
    <row r="75" spans="1:7" ht="15" hidden="1" x14ac:dyDescent="0.35">
      <c r="A75" s="16"/>
      <c r="B75" s="20" t="s">
        <v>25</v>
      </c>
      <c r="C75" s="9" t="s">
        <v>55</v>
      </c>
      <c r="D75" s="14">
        <v>3</v>
      </c>
      <c r="E75" s="12"/>
      <c r="F75" s="3">
        <f t="shared" si="2"/>
        <v>3</v>
      </c>
      <c r="G75" t="str">
        <f t="shared" si="3"/>
        <v>PhD</v>
      </c>
    </row>
    <row r="76" spans="1:7" ht="15" hidden="1" x14ac:dyDescent="0.35">
      <c r="A76" s="16"/>
      <c r="B76" s="20"/>
      <c r="C76" s="9" t="s">
        <v>46</v>
      </c>
      <c r="D76" s="14">
        <v>2</v>
      </c>
      <c r="E76" s="12"/>
      <c r="F76" s="3">
        <f t="shared" si="2"/>
        <v>2</v>
      </c>
      <c r="G76" t="str">
        <f t="shared" si="3"/>
        <v>PhD</v>
      </c>
    </row>
    <row r="77" spans="1:7" ht="15" x14ac:dyDescent="0.35">
      <c r="A77" s="16"/>
      <c r="B77" s="20"/>
      <c r="C77" s="2" t="s">
        <v>52</v>
      </c>
      <c r="D77" s="13">
        <v>69</v>
      </c>
      <c r="E77" s="4"/>
      <c r="F77" s="3">
        <f t="shared" si="2"/>
        <v>69</v>
      </c>
      <c r="G77" t="str">
        <f t="shared" si="3"/>
        <v>UG</v>
      </c>
    </row>
    <row r="78" spans="1:7" ht="15" x14ac:dyDescent="0.35">
      <c r="A78" s="16"/>
      <c r="B78" s="20"/>
      <c r="C78" s="2" t="s">
        <v>53</v>
      </c>
      <c r="D78" s="13">
        <v>65</v>
      </c>
      <c r="E78" s="4"/>
      <c r="F78" s="3">
        <f t="shared" si="2"/>
        <v>65</v>
      </c>
      <c r="G78" t="str">
        <f t="shared" si="3"/>
        <v>UG</v>
      </c>
    </row>
    <row r="79" spans="1:7" ht="15" x14ac:dyDescent="0.35">
      <c r="A79" s="16"/>
      <c r="B79" s="20"/>
      <c r="C79" s="2" t="s">
        <v>54</v>
      </c>
      <c r="D79" s="13">
        <v>59</v>
      </c>
      <c r="E79" s="4"/>
      <c r="F79" s="3">
        <f t="shared" si="2"/>
        <v>59</v>
      </c>
      <c r="G79" t="str">
        <f t="shared" si="3"/>
        <v>UG</v>
      </c>
    </row>
    <row r="80" spans="1:7" ht="15" x14ac:dyDescent="0.35">
      <c r="A80" s="16" t="s">
        <v>26</v>
      </c>
      <c r="B80" s="20" t="s">
        <v>27</v>
      </c>
      <c r="C80" s="2" t="s">
        <v>52</v>
      </c>
      <c r="D80" s="4"/>
      <c r="E80" s="13">
        <v>120</v>
      </c>
      <c r="F80" s="3">
        <f t="shared" si="2"/>
        <v>120</v>
      </c>
      <c r="G80" t="str">
        <f t="shared" si="3"/>
        <v>UG</v>
      </c>
    </row>
    <row r="81" spans="1:7" ht="15" x14ac:dyDescent="0.35">
      <c r="A81" s="16"/>
      <c r="B81" s="20"/>
      <c r="C81" s="2" t="s">
        <v>53</v>
      </c>
      <c r="D81" s="4"/>
      <c r="E81" s="13">
        <v>126</v>
      </c>
      <c r="F81" s="3">
        <f t="shared" si="2"/>
        <v>126</v>
      </c>
      <c r="G81" t="str">
        <f t="shared" si="3"/>
        <v>UG</v>
      </c>
    </row>
    <row r="82" spans="1:7" ht="15" x14ac:dyDescent="0.35">
      <c r="A82" s="16"/>
      <c r="B82" s="20"/>
      <c r="C82" s="2" t="s">
        <v>54</v>
      </c>
      <c r="D82" s="4"/>
      <c r="E82" s="13">
        <v>124</v>
      </c>
      <c r="F82" s="3">
        <f t="shared" si="2"/>
        <v>124</v>
      </c>
      <c r="G82" t="str">
        <f t="shared" si="3"/>
        <v>UG</v>
      </c>
    </row>
    <row r="83" spans="1:7" ht="15" hidden="1" x14ac:dyDescent="0.35">
      <c r="A83" s="16"/>
      <c r="B83" s="20" t="s">
        <v>28</v>
      </c>
      <c r="C83" s="9" t="s">
        <v>55</v>
      </c>
      <c r="D83" s="14">
        <v>5</v>
      </c>
      <c r="E83" s="12"/>
      <c r="F83" s="3">
        <f t="shared" si="2"/>
        <v>5</v>
      </c>
      <c r="G83" t="str">
        <f t="shared" si="3"/>
        <v>PhD</v>
      </c>
    </row>
    <row r="84" spans="1:7" ht="15" hidden="1" x14ac:dyDescent="0.35">
      <c r="A84" s="16"/>
      <c r="B84" s="20"/>
      <c r="C84" s="9" t="s">
        <v>46</v>
      </c>
      <c r="D84" s="14">
        <v>1</v>
      </c>
      <c r="E84" s="12"/>
      <c r="F84" s="3">
        <f t="shared" si="2"/>
        <v>1</v>
      </c>
      <c r="G84" t="str">
        <f t="shared" si="3"/>
        <v>PhD</v>
      </c>
    </row>
    <row r="85" spans="1:7" ht="15" hidden="1" x14ac:dyDescent="0.35">
      <c r="A85" s="16"/>
      <c r="B85" s="20"/>
      <c r="C85" s="2" t="s">
        <v>50</v>
      </c>
      <c r="D85" s="13">
        <v>120</v>
      </c>
      <c r="E85" s="4"/>
      <c r="F85" s="3">
        <f t="shared" si="2"/>
        <v>120</v>
      </c>
      <c r="G85" t="str">
        <f t="shared" si="3"/>
        <v>PG</v>
      </c>
    </row>
    <row r="86" spans="1:7" ht="15" hidden="1" x14ac:dyDescent="0.35">
      <c r="A86" s="16"/>
      <c r="B86" s="20"/>
      <c r="C86" s="2" t="s">
        <v>51</v>
      </c>
      <c r="D86" s="13">
        <v>118</v>
      </c>
      <c r="E86" s="4"/>
      <c r="F86" s="3">
        <f t="shared" si="2"/>
        <v>118</v>
      </c>
      <c r="G86" t="str">
        <f t="shared" si="3"/>
        <v>PG</v>
      </c>
    </row>
    <row r="87" spans="1:7" ht="15" hidden="1" x14ac:dyDescent="0.35">
      <c r="A87" s="16"/>
      <c r="B87" s="20" t="s">
        <v>29</v>
      </c>
      <c r="C87" s="2" t="s">
        <v>50</v>
      </c>
      <c r="D87" s="4"/>
      <c r="E87" s="13">
        <v>38</v>
      </c>
      <c r="F87" s="3">
        <f t="shared" si="2"/>
        <v>38</v>
      </c>
      <c r="G87" t="str">
        <f t="shared" si="3"/>
        <v>PG</v>
      </c>
    </row>
    <row r="88" spans="1:7" ht="15" hidden="1" x14ac:dyDescent="0.35">
      <c r="A88" s="16"/>
      <c r="B88" s="20"/>
      <c r="C88" s="2" t="s">
        <v>51</v>
      </c>
      <c r="D88" s="4"/>
      <c r="E88" s="13">
        <v>28</v>
      </c>
      <c r="F88" s="3">
        <f t="shared" si="2"/>
        <v>28</v>
      </c>
      <c r="G88" t="str">
        <f t="shared" si="3"/>
        <v>PG</v>
      </c>
    </row>
    <row r="89" spans="1:7" ht="15" hidden="1" x14ac:dyDescent="0.35">
      <c r="A89" s="16"/>
      <c r="B89" s="20" t="s">
        <v>30</v>
      </c>
      <c r="C89" s="9" t="s">
        <v>55</v>
      </c>
      <c r="D89" s="14">
        <v>2</v>
      </c>
      <c r="E89" s="12"/>
      <c r="F89" s="3">
        <f t="shared" si="2"/>
        <v>2</v>
      </c>
      <c r="G89" t="str">
        <f t="shared" si="3"/>
        <v>PhD</v>
      </c>
    </row>
    <row r="90" spans="1:7" ht="15" hidden="1" x14ac:dyDescent="0.35">
      <c r="A90" s="16"/>
      <c r="B90" s="20"/>
      <c r="C90" s="9" t="s">
        <v>46</v>
      </c>
      <c r="D90" s="14">
        <v>1</v>
      </c>
      <c r="E90" s="12"/>
      <c r="F90" s="3">
        <f t="shared" si="2"/>
        <v>1</v>
      </c>
      <c r="G90" t="str">
        <f t="shared" si="3"/>
        <v>PhD</v>
      </c>
    </row>
    <row r="91" spans="1:7" ht="15" hidden="1" x14ac:dyDescent="0.35">
      <c r="A91" s="16"/>
      <c r="B91" s="20"/>
      <c r="C91" s="9" t="s">
        <v>56</v>
      </c>
      <c r="D91" s="14">
        <v>2</v>
      </c>
      <c r="E91" s="12"/>
      <c r="F91" s="3">
        <f t="shared" si="2"/>
        <v>2</v>
      </c>
      <c r="G91" t="str">
        <f t="shared" si="3"/>
        <v>PhD</v>
      </c>
    </row>
    <row r="92" spans="1:7" ht="15" x14ac:dyDescent="0.35">
      <c r="A92" s="16"/>
      <c r="B92" s="20"/>
      <c r="C92" s="2" t="s">
        <v>52</v>
      </c>
      <c r="D92" s="13">
        <v>61</v>
      </c>
      <c r="E92" s="4"/>
      <c r="F92" s="3">
        <f t="shared" si="2"/>
        <v>61</v>
      </c>
      <c r="G92" t="str">
        <f t="shared" si="3"/>
        <v>UG</v>
      </c>
    </row>
    <row r="93" spans="1:7" ht="15" x14ac:dyDescent="0.35">
      <c r="A93" s="16"/>
      <c r="B93" s="20"/>
      <c r="C93" s="2" t="s">
        <v>53</v>
      </c>
      <c r="D93" s="13">
        <v>58</v>
      </c>
      <c r="E93" s="4"/>
      <c r="F93" s="3">
        <f t="shared" si="2"/>
        <v>58</v>
      </c>
      <c r="G93" t="str">
        <f t="shared" si="3"/>
        <v>UG</v>
      </c>
    </row>
    <row r="94" spans="1:7" ht="15" x14ac:dyDescent="0.35">
      <c r="A94" s="16"/>
      <c r="B94" s="20"/>
      <c r="C94" s="2" t="s">
        <v>54</v>
      </c>
      <c r="D94" s="13">
        <v>66</v>
      </c>
      <c r="E94" s="4"/>
      <c r="F94" s="3">
        <f t="shared" si="2"/>
        <v>66</v>
      </c>
      <c r="G94" t="str">
        <f t="shared" si="3"/>
        <v>UG</v>
      </c>
    </row>
    <row r="95" spans="1:7" ht="15" hidden="1" x14ac:dyDescent="0.35">
      <c r="A95" s="16"/>
      <c r="B95" s="20"/>
      <c r="C95" s="2" t="s">
        <v>50</v>
      </c>
      <c r="D95" s="13">
        <v>14</v>
      </c>
      <c r="E95" s="4"/>
      <c r="F95" s="3">
        <f t="shared" si="2"/>
        <v>14</v>
      </c>
      <c r="G95" t="str">
        <f t="shared" si="3"/>
        <v>PG</v>
      </c>
    </row>
    <row r="96" spans="1:7" ht="15" hidden="1" x14ac:dyDescent="0.35">
      <c r="A96" s="16"/>
      <c r="B96" s="20"/>
      <c r="C96" s="2" t="s">
        <v>51</v>
      </c>
      <c r="D96" s="13">
        <v>25</v>
      </c>
      <c r="E96" s="4"/>
      <c r="F96" s="3">
        <f t="shared" si="2"/>
        <v>25</v>
      </c>
      <c r="G96" t="str">
        <f t="shared" si="3"/>
        <v>PG</v>
      </c>
    </row>
    <row r="97" spans="1:7" ht="15" hidden="1" x14ac:dyDescent="0.35">
      <c r="A97" s="16"/>
      <c r="B97" s="20" t="s">
        <v>31</v>
      </c>
      <c r="C97" s="9" t="s">
        <v>55</v>
      </c>
      <c r="D97" s="12">
        <v>7</v>
      </c>
      <c r="E97" s="12"/>
      <c r="F97" s="3">
        <f t="shared" si="2"/>
        <v>7</v>
      </c>
      <c r="G97" t="str">
        <f t="shared" si="3"/>
        <v>PhD</v>
      </c>
    </row>
    <row r="98" spans="1:7" ht="15" hidden="1" x14ac:dyDescent="0.35">
      <c r="A98" s="16"/>
      <c r="B98" s="20"/>
      <c r="C98" s="2" t="s">
        <v>50</v>
      </c>
      <c r="D98" s="13">
        <v>39</v>
      </c>
      <c r="E98" s="4"/>
      <c r="F98" s="3">
        <f t="shared" si="2"/>
        <v>39</v>
      </c>
      <c r="G98" t="str">
        <f t="shared" si="3"/>
        <v>PG</v>
      </c>
    </row>
    <row r="99" spans="1:7" ht="15" hidden="1" x14ac:dyDescent="0.35">
      <c r="A99" s="16"/>
      <c r="B99" s="20"/>
      <c r="C99" s="2" t="s">
        <v>51</v>
      </c>
      <c r="D99" s="13">
        <v>40</v>
      </c>
      <c r="E99" s="4"/>
      <c r="F99" s="3">
        <f t="shared" si="2"/>
        <v>40</v>
      </c>
      <c r="G99" t="str">
        <f t="shared" si="3"/>
        <v>PG</v>
      </c>
    </row>
    <row r="100" spans="1:7" ht="15" x14ac:dyDescent="0.35">
      <c r="A100" s="16"/>
      <c r="B100" s="20" t="s">
        <v>37</v>
      </c>
      <c r="C100" s="2" t="s">
        <v>52</v>
      </c>
      <c r="D100" s="13">
        <v>45</v>
      </c>
      <c r="E100" s="4"/>
      <c r="F100" s="3">
        <f t="shared" si="2"/>
        <v>45</v>
      </c>
      <c r="G100" t="str">
        <f t="shared" si="3"/>
        <v>UG</v>
      </c>
    </row>
    <row r="101" spans="1:7" ht="15.5" x14ac:dyDescent="0.35">
      <c r="A101" s="16"/>
      <c r="B101" s="20"/>
      <c r="C101" s="2" t="s">
        <v>53</v>
      </c>
      <c r="D101" s="13">
        <v>47</v>
      </c>
      <c r="E101" s="5"/>
      <c r="F101" s="3">
        <f t="shared" si="2"/>
        <v>47</v>
      </c>
      <c r="G101" t="str">
        <f t="shared" si="3"/>
        <v>UG</v>
      </c>
    </row>
    <row r="102" spans="1:7" ht="15.5" x14ac:dyDescent="0.35">
      <c r="A102" s="16"/>
      <c r="B102" s="20"/>
      <c r="C102" s="2" t="s">
        <v>54</v>
      </c>
      <c r="D102" s="13">
        <v>42</v>
      </c>
      <c r="E102" s="5"/>
      <c r="F102" s="3">
        <f t="shared" si="2"/>
        <v>42</v>
      </c>
      <c r="G102" t="str">
        <f t="shared" si="3"/>
        <v>UG</v>
      </c>
    </row>
    <row r="103" spans="1:7" ht="15" x14ac:dyDescent="0.35">
      <c r="A103" s="16"/>
      <c r="B103" s="20" t="s">
        <v>32</v>
      </c>
      <c r="C103" s="2" t="s">
        <v>52</v>
      </c>
      <c r="D103" s="4"/>
      <c r="E103" s="13">
        <v>37</v>
      </c>
      <c r="F103" s="3">
        <f t="shared" si="2"/>
        <v>37</v>
      </c>
      <c r="G103" t="str">
        <f t="shared" si="3"/>
        <v>UG</v>
      </c>
    </row>
    <row r="104" spans="1:7" ht="15" x14ac:dyDescent="0.35">
      <c r="A104" s="16"/>
      <c r="B104" s="20"/>
      <c r="C104" s="2" t="s">
        <v>53</v>
      </c>
      <c r="D104" s="4"/>
      <c r="E104" s="13">
        <v>40</v>
      </c>
      <c r="F104" s="3">
        <f t="shared" si="2"/>
        <v>40</v>
      </c>
      <c r="G104" t="str">
        <f t="shared" si="3"/>
        <v>UG</v>
      </c>
    </row>
    <row r="105" spans="1:7" ht="15" x14ac:dyDescent="0.35">
      <c r="A105" s="16"/>
      <c r="B105" s="20"/>
      <c r="C105" s="2" t="s">
        <v>54</v>
      </c>
      <c r="D105" s="4"/>
      <c r="E105" s="13">
        <v>40</v>
      </c>
      <c r="F105" s="3">
        <f t="shared" si="2"/>
        <v>40</v>
      </c>
      <c r="G105" t="str">
        <f t="shared" si="3"/>
        <v>UG</v>
      </c>
    </row>
    <row r="106" spans="1:7" ht="15" hidden="1" x14ac:dyDescent="0.35">
      <c r="A106" s="16"/>
      <c r="B106" s="20"/>
      <c r="C106" s="2" t="s">
        <v>50</v>
      </c>
      <c r="D106" s="4"/>
      <c r="E106" s="13">
        <v>14</v>
      </c>
      <c r="F106" s="3">
        <f t="shared" si="2"/>
        <v>14</v>
      </c>
      <c r="G106" t="str">
        <f t="shared" si="3"/>
        <v>PG</v>
      </c>
    </row>
    <row r="107" spans="1:7" ht="15" hidden="1" x14ac:dyDescent="0.35">
      <c r="A107" s="16" t="s">
        <v>33</v>
      </c>
      <c r="B107" s="20" t="s">
        <v>34</v>
      </c>
      <c r="C107" s="9" t="s">
        <v>55</v>
      </c>
      <c r="D107" s="14">
        <v>2</v>
      </c>
      <c r="E107" s="12"/>
      <c r="F107" s="3">
        <f t="shared" si="2"/>
        <v>2</v>
      </c>
      <c r="G107" t="str">
        <f t="shared" si="3"/>
        <v>PhD</v>
      </c>
    </row>
    <row r="108" spans="1:7" ht="15" hidden="1" x14ac:dyDescent="0.35">
      <c r="A108" s="16"/>
      <c r="B108" s="20"/>
      <c r="C108" s="9" t="s">
        <v>46</v>
      </c>
      <c r="D108" s="14">
        <v>2</v>
      </c>
      <c r="E108" s="12"/>
      <c r="F108" s="3">
        <f t="shared" si="2"/>
        <v>2</v>
      </c>
      <c r="G108" t="str">
        <f t="shared" si="3"/>
        <v>PhD</v>
      </c>
    </row>
    <row r="109" spans="1:7" ht="15" hidden="1" x14ac:dyDescent="0.35">
      <c r="A109" s="16"/>
      <c r="B109" s="20"/>
      <c r="C109" s="9" t="s">
        <v>56</v>
      </c>
      <c r="D109" s="14">
        <v>4</v>
      </c>
      <c r="E109" s="12"/>
      <c r="F109" s="3">
        <f t="shared" si="2"/>
        <v>4</v>
      </c>
      <c r="G109" t="str">
        <f t="shared" si="3"/>
        <v>PhD</v>
      </c>
    </row>
    <row r="110" spans="1:7" ht="15" x14ac:dyDescent="0.35">
      <c r="A110" s="16"/>
      <c r="B110" s="20"/>
      <c r="C110" s="2" t="s">
        <v>52</v>
      </c>
      <c r="D110" s="13">
        <v>83</v>
      </c>
      <c r="E110" s="4"/>
      <c r="F110" s="3">
        <f t="shared" si="2"/>
        <v>83</v>
      </c>
      <c r="G110" t="str">
        <f t="shared" si="3"/>
        <v>UG</v>
      </c>
    </row>
    <row r="111" spans="1:7" ht="15" x14ac:dyDescent="0.35">
      <c r="A111" s="16"/>
      <c r="B111" s="20"/>
      <c r="C111" s="2" t="s">
        <v>53</v>
      </c>
      <c r="D111" s="13">
        <v>82</v>
      </c>
      <c r="E111" s="4"/>
      <c r="F111" s="3">
        <f t="shared" si="2"/>
        <v>82</v>
      </c>
      <c r="G111" t="str">
        <f t="shared" si="3"/>
        <v>UG</v>
      </c>
    </row>
    <row r="112" spans="1:7" ht="15" x14ac:dyDescent="0.35">
      <c r="A112" s="16"/>
      <c r="B112" s="20"/>
      <c r="C112" s="2" t="s">
        <v>54</v>
      </c>
      <c r="D112" s="13">
        <v>97</v>
      </c>
      <c r="E112" s="4"/>
      <c r="F112" s="3">
        <f t="shared" si="2"/>
        <v>97</v>
      </c>
      <c r="G112" t="str">
        <f t="shared" si="3"/>
        <v>UG</v>
      </c>
    </row>
    <row r="113" spans="1:7" ht="15" hidden="1" x14ac:dyDescent="0.35">
      <c r="A113" s="16"/>
      <c r="B113" s="20"/>
      <c r="C113" s="2" t="s">
        <v>50</v>
      </c>
      <c r="D113" s="13">
        <v>24</v>
      </c>
      <c r="E113" s="13">
        <v>22</v>
      </c>
      <c r="F113" s="3">
        <f t="shared" si="2"/>
        <v>46</v>
      </c>
      <c r="G113" t="str">
        <f t="shared" si="3"/>
        <v>PG</v>
      </c>
    </row>
    <row r="114" spans="1:7" ht="15" hidden="1" x14ac:dyDescent="0.35">
      <c r="A114" s="16"/>
      <c r="B114" s="20"/>
      <c r="C114" s="2" t="s">
        <v>51</v>
      </c>
      <c r="D114" s="13">
        <v>29</v>
      </c>
      <c r="E114" s="13">
        <v>27</v>
      </c>
      <c r="F114" s="3">
        <f t="shared" si="2"/>
        <v>56</v>
      </c>
      <c r="G114" t="str">
        <f t="shared" si="3"/>
        <v>PG</v>
      </c>
    </row>
    <row r="115" spans="1:7" ht="15" x14ac:dyDescent="0.35">
      <c r="A115" s="16"/>
      <c r="B115" s="20" t="s">
        <v>35</v>
      </c>
      <c r="C115" s="2" t="s">
        <v>52</v>
      </c>
      <c r="D115" s="4"/>
      <c r="E115" s="13">
        <v>29</v>
      </c>
      <c r="F115" s="3">
        <f t="shared" si="2"/>
        <v>29</v>
      </c>
      <c r="G115" t="str">
        <f t="shared" si="3"/>
        <v>UG</v>
      </c>
    </row>
    <row r="116" spans="1:7" ht="15.5" x14ac:dyDescent="0.35">
      <c r="A116" s="16"/>
      <c r="B116" s="20"/>
      <c r="C116" s="2" t="s">
        <v>53</v>
      </c>
      <c r="D116" s="5"/>
      <c r="E116" s="13">
        <v>28</v>
      </c>
      <c r="F116" s="3">
        <f t="shared" si="2"/>
        <v>28</v>
      </c>
      <c r="G116" t="str">
        <f t="shared" si="3"/>
        <v>UG</v>
      </c>
    </row>
    <row r="117" spans="1:7" ht="15.5" x14ac:dyDescent="0.35">
      <c r="A117" s="16"/>
      <c r="B117" s="20"/>
      <c r="C117" s="2" t="s">
        <v>54</v>
      </c>
      <c r="D117" s="5"/>
      <c r="E117" s="13">
        <v>32</v>
      </c>
      <c r="F117" s="3">
        <f t="shared" si="2"/>
        <v>32</v>
      </c>
      <c r="G117" t="str">
        <f t="shared" si="3"/>
        <v>UG</v>
      </c>
    </row>
    <row r="118" spans="1:7" ht="15" hidden="1" x14ac:dyDescent="0.35">
      <c r="A118" s="16"/>
      <c r="B118" s="20"/>
      <c r="C118" s="2" t="s">
        <v>50</v>
      </c>
      <c r="D118" s="4"/>
      <c r="E118" s="13">
        <v>16</v>
      </c>
      <c r="F118" s="3">
        <f t="shared" si="2"/>
        <v>16</v>
      </c>
      <c r="G118" t="str">
        <f t="shared" si="3"/>
        <v>PG</v>
      </c>
    </row>
    <row r="119" spans="1:7" ht="15" hidden="1" x14ac:dyDescent="0.35">
      <c r="A119" s="16"/>
      <c r="B119" s="20"/>
      <c r="C119" s="2" t="s">
        <v>51</v>
      </c>
      <c r="D119" s="4"/>
      <c r="E119" s="13">
        <v>10</v>
      </c>
      <c r="F119" s="3">
        <f t="shared" si="2"/>
        <v>10</v>
      </c>
      <c r="G119" t="str">
        <f t="shared" si="3"/>
        <v>PG</v>
      </c>
    </row>
    <row r="120" spans="1:7" ht="15" hidden="1" x14ac:dyDescent="0.35">
      <c r="A120" s="16"/>
      <c r="B120" s="20" t="s">
        <v>36</v>
      </c>
      <c r="C120" s="9" t="s">
        <v>55</v>
      </c>
      <c r="D120" s="14">
        <v>9</v>
      </c>
      <c r="E120" s="12"/>
      <c r="F120" s="3">
        <f t="shared" si="2"/>
        <v>9</v>
      </c>
      <c r="G120" t="str">
        <f t="shared" si="3"/>
        <v>PhD</v>
      </c>
    </row>
    <row r="121" spans="1:7" ht="15" hidden="1" x14ac:dyDescent="0.35">
      <c r="A121" s="16"/>
      <c r="B121" s="20"/>
      <c r="C121" s="9" t="s">
        <v>46</v>
      </c>
      <c r="D121" s="14">
        <v>6</v>
      </c>
      <c r="E121" s="12"/>
      <c r="F121" s="3">
        <f t="shared" si="2"/>
        <v>6</v>
      </c>
      <c r="G121" t="str">
        <f t="shared" si="3"/>
        <v>PhD</v>
      </c>
    </row>
    <row r="122" spans="1:7" ht="15" hidden="1" x14ac:dyDescent="0.35">
      <c r="A122" s="16"/>
      <c r="B122" s="20"/>
      <c r="C122" s="9" t="s">
        <v>56</v>
      </c>
      <c r="D122" s="14">
        <v>5</v>
      </c>
      <c r="E122" s="12"/>
      <c r="F122" s="3">
        <f t="shared" si="2"/>
        <v>5</v>
      </c>
      <c r="G122" t="str">
        <f t="shared" si="3"/>
        <v>PhD</v>
      </c>
    </row>
    <row r="123" spans="1:7" ht="15" x14ac:dyDescent="0.35">
      <c r="A123" s="16"/>
      <c r="B123" s="20"/>
      <c r="C123" s="2" t="s">
        <v>52</v>
      </c>
      <c r="D123" s="13">
        <v>92</v>
      </c>
      <c r="E123" s="4"/>
      <c r="F123" s="3">
        <f t="shared" si="2"/>
        <v>92</v>
      </c>
      <c r="G123" t="str">
        <f t="shared" si="3"/>
        <v>UG</v>
      </c>
    </row>
    <row r="124" spans="1:7" ht="15" x14ac:dyDescent="0.35">
      <c r="A124" s="16"/>
      <c r="B124" s="20"/>
      <c r="C124" s="2" t="s">
        <v>53</v>
      </c>
      <c r="D124" s="13">
        <v>77</v>
      </c>
      <c r="E124" s="13">
        <v>32</v>
      </c>
      <c r="F124" s="3">
        <f t="shared" si="2"/>
        <v>109</v>
      </c>
      <c r="G124" t="str">
        <f t="shared" si="3"/>
        <v>UG</v>
      </c>
    </row>
    <row r="125" spans="1:7" ht="15" x14ac:dyDescent="0.35">
      <c r="A125" s="16"/>
      <c r="B125" s="20"/>
      <c r="C125" s="2" t="s">
        <v>54</v>
      </c>
      <c r="D125" s="13">
        <v>75</v>
      </c>
      <c r="E125" s="13">
        <v>33</v>
      </c>
      <c r="F125" s="3">
        <f t="shared" si="2"/>
        <v>108</v>
      </c>
      <c r="G125" t="str">
        <f t="shared" si="3"/>
        <v>UG</v>
      </c>
    </row>
    <row r="126" spans="1:7" ht="15" hidden="1" x14ac:dyDescent="0.35">
      <c r="A126" s="16"/>
      <c r="B126" s="20"/>
      <c r="C126" s="2" t="s">
        <v>50</v>
      </c>
      <c r="D126" s="13">
        <v>23</v>
      </c>
      <c r="E126" s="13">
        <v>22</v>
      </c>
      <c r="F126" s="3">
        <f t="shared" si="2"/>
        <v>45</v>
      </c>
      <c r="G126" t="str">
        <f t="shared" si="3"/>
        <v>PG</v>
      </c>
    </row>
    <row r="127" spans="1:7" ht="15" hidden="1" x14ac:dyDescent="0.35">
      <c r="A127" s="16"/>
      <c r="B127" s="20"/>
      <c r="C127" s="2" t="s">
        <v>51</v>
      </c>
      <c r="D127" s="13">
        <v>29</v>
      </c>
      <c r="E127" s="13">
        <v>28</v>
      </c>
      <c r="F127" s="3">
        <f t="shared" si="2"/>
        <v>57</v>
      </c>
      <c r="G127" t="str">
        <f t="shared" si="3"/>
        <v>PG</v>
      </c>
    </row>
    <row r="128" spans="1:7" ht="30.75" hidden="1" customHeight="1" x14ac:dyDescent="0.35">
      <c r="A128" s="3"/>
      <c r="B128" s="8" t="s">
        <v>47</v>
      </c>
      <c r="C128" s="8"/>
      <c r="D128" s="1">
        <f>SUM(D3:D127)</f>
        <v>3630</v>
      </c>
      <c r="E128" s="1">
        <f>SUM(E3:E127)</f>
        <v>3738</v>
      </c>
      <c r="F128" s="1">
        <f>SUM(D128:E128)</f>
        <v>7368</v>
      </c>
    </row>
    <row r="131" spans="3:5" x14ac:dyDescent="0.35">
      <c r="D131" s="6" t="s">
        <v>62</v>
      </c>
      <c r="E131" s="6" t="s">
        <v>63</v>
      </c>
    </row>
    <row r="132" spans="3:5" x14ac:dyDescent="0.35">
      <c r="C132" s="10" t="s">
        <v>61</v>
      </c>
      <c r="D132" s="6">
        <f>SUMIF(G2:G128,"PG",D2:D128)</f>
        <v>830</v>
      </c>
      <c r="E132" s="6">
        <f>SUMIF(G2:G128,"PG",E2:E128)</f>
        <v>760</v>
      </c>
    </row>
    <row r="133" spans="3:5" x14ac:dyDescent="0.35">
      <c r="C133" s="10" t="s">
        <v>59</v>
      </c>
      <c r="D133" s="6">
        <f>SUMIF(G3:G129,"UG",D3:D129)</f>
        <v>2662</v>
      </c>
      <c r="E133" s="6">
        <f>SUMIF(G3:G129,"UG",E3:E129)</f>
        <v>2978</v>
      </c>
    </row>
    <row r="134" spans="3:5" x14ac:dyDescent="0.35">
      <c r="C134" s="10" t="s">
        <v>60</v>
      </c>
      <c r="D134" s="6">
        <f>SUMIF(G4:G130,"PHD",D4:D130)</f>
        <v>138</v>
      </c>
    </row>
  </sheetData>
  <autoFilter ref="A2:G128" xr:uid="{00000000-0001-0000-0100-000000000000}">
    <filterColumn colId="6">
      <filters>
        <filter val="UG"/>
      </filters>
    </filterColumn>
  </autoFilter>
  <mergeCells count="32">
    <mergeCell ref="B46:B47"/>
    <mergeCell ref="B48:B52"/>
    <mergeCell ref="B53:B60"/>
    <mergeCell ref="B61:B63"/>
    <mergeCell ref="A107:A127"/>
    <mergeCell ref="B107:B114"/>
    <mergeCell ref="B115:B119"/>
    <mergeCell ref="B120:B127"/>
    <mergeCell ref="A80:A106"/>
    <mergeCell ref="B80:B82"/>
    <mergeCell ref="B83:B86"/>
    <mergeCell ref="B87:B88"/>
    <mergeCell ref="B89:B96"/>
    <mergeCell ref="B97:B99"/>
    <mergeCell ref="B100:B102"/>
    <mergeCell ref="B103:B106"/>
    <mergeCell ref="A64:A79"/>
    <mergeCell ref="B64:B71"/>
    <mergeCell ref="B72:B74"/>
    <mergeCell ref="B75:B79"/>
    <mergeCell ref="A1:F1"/>
    <mergeCell ref="A3:A15"/>
    <mergeCell ref="B3:B4"/>
    <mergeCell ref="B5:B8"/>
    <mergeCell ref="B9:B15"/>
    <mergeCell ref="B16:B23"/>
    <mergeCell ref="B25:B29"/>
    <mergeCell ref="B30:B32"/>
    <mergeCell ref="B35:B37"/>
    <mergeCell ref="A34:A63"/>
    <mergeCell ref="A16:A33"/>
    <mergeCell ref="B38:B4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2023-24</vt:lpstr>
      <vt:lpstr>2024-25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2026-07-06T04:00:27Z</dcterms:created>
  <dcterms:modified xsi:type="dcterms:W3CDTF">2026-09-18T13:13:15Z</dcterms:modified>
</cp:coreProperties>
</file>